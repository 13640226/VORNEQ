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48a8344c48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9d53348547b4f28"/>
    <x:sheet xmlns:r="http://schemas.openxmlformats.org/officeDocument/2006/relationships" name="Zielunternehmen_40" sheetId="2" r:id="R226369c778664947"/>
    <x:sheet xmlns:r="http://schemas.openxmlformats.org/officeDocument/2006/relationships" name="Interviews" sheetId="3" r:id="R0a55af21af724507"/>
    <x:sheet xmlns:r="http://schemas.openxmlformats.org/officeDocument/2006/relationships" name="ICP_Leitfaden" sheetId="4" r:id="R0f7351b0f9b2484a"/>
    <x:sheet xmlns:r="http://schemas.openxmlformats.org/officeDocument/2006/relationships" name="Quellen" sheetId="5" r:id="R6490e541ecc9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 &quot;€&quot;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6253A"/>
      <x:name val="Carlito"/>
    </x:font>
    <x:font>
      <x:b/>
      <x:sz val="10"/>
      <x:color rgb="FFFFFFFF"/>
      <x:name val="Carlito"/>
    </x:font>
    <x:font>
      <x:sz val="11"/>
      <x:color rgb="FF16253A"/>
      <x:name val="Carlito"/>
    </x:font>
    <x:font>
      <x:b/>
      <x:sz val="13"/>
      <x:color rgb="FF0A1628"/>
      <x:name val="Carlito"/>
    </x:font>
    <x:font>
      <x:b/>
      <x:sz val="11"/>
      <x:color rgb="FF16253A"/>
      <x:name val="Carlito"/>
    </x:font>
    <x:font>
      <x:b/>
      <x:sz val="11"/>
      <x:color rgb="FF0A162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A1628"/>
      </x:patternFill>
    </x:fill>
    <x:fill>
      <x:patternFill patternType="solid">
        <x:fgColor rgb="FFFFF5D6"/>
      </x:patternFill>
    </x:fill>
    <x:fill>
      <x:patternFill patternType="solid">
        <x:fgColor rgb="FFE7EFF8"/>
      </x:patternFill>
    </x:fill>
    <x:fill>
      <x:patternFill patternType="solid">
        <x:fgColor rgb="FFF0F4F7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200" fontId="4" fillId="0" borderId="0" xfId="0" applyNumberFormat="1" applyFont="1" applyFill="1" applyBorder="1"/>
    <x:xf numFmtId="0" fontId="4" fillId="4" borderId="1" xfId="0" applyNumberFormat="1" applyFont="1" applyFill="1" applyBorder="1"/>
    <x:xf numFmtId="0" fontId="4" fillId="0" borderId="1" xfId="0" applyNumberFormat="1" applyFont="1" applyFill="1" applyBorder="1"/>
    <x:xf numFmtId="0" fontId="4" fillId="3" borderId="1" xfId="0" applyNumberFormat="1" applyFont="1" applyFill="1" applyBorder="1"/>
    <x:xf numFmtId="200" fontId="4" fillId="0" borderId="1" xfId="0" applyNumberFormat="1" applyFont="1" applyFill="1" applyBorder="1"/>
    <x:xf numFmtId="0" fontId="4" fillId="4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  <x:xf numFmtId="0" fontId="4" fillId="3" borderId="0" xfId="0" applyNumberFormat="1" applyFont="1" applyFill="1" applyBorder="1" applyAlignment="1">
      <x:alignment wrapText="0"/>
    </x:xf>
    <x:xf numFmtId="200" fontId="4" fillId="0" borderId="0" xfId="0" applyNumberFormat="1" applyFont="1" applyFill="1" applyBorder="1" applyAlignment="1">
      <x:alignment wrapText="0"/>
    </x:xf>
    <x:xf numFmtId="0" fontId="4" fillId="4" borderId="1" xfId="0" applyNumberFormat="1" applyFont="1" applyFill="1" applyBorder="1" applyAlignment="1">
      <x:alignment wrapText="0"/>
    </x:xf>
    <x:xf numFmtId="0" fontId="4" fillId="0" borderId="1" xfId="0" applyNumberFormat="1" applyFont="1" applyFill="1" applyBorder="1" applyAlignment="1">
      <x:alignment wrapText="0"/>
    </x:xf>
    <x:xf numFmtId="0" fontId="4" fillId="3" borderId="1" xfId="0" applyNumberFormat="1" applyFont="1" applyFill="1" applyBorder="1" applyAlignment="1">
      <x:alignment wrapText="0"/>
    </x:xf>
    <x:xf numFmtId="200" fontId="4" fillId="0" borderId="1" xfId="0" applyNumberFormat="1" applyFont="1" applyFill="1" applyBorder="1" applyAlignment="1">
      <x:alignment wrapText="0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E2F4E8"/>
        </x:patternFill>
      </x:fill>
    </x:dxf>
    <x:dxf>
      <x:fill>
        <x:patternFill patternType="solid">
          <x:bgColor rgb="FFFDE7E7"/>
        </x:patternFill>
      </x:fill>
    </x:dxf>
    <x:dxf>
      <x:fill>
        <x:patternFill patternType="solid">
          <x:bgColor rgb="FFE2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d4cb6946894848" /><Relationship Type="http://schemas.openxmlformats.org/officeDocument/2006/relationships/theme" Target="/xl/theme/theme1.xml" Id="Re8d0a9161eea40b5" /><Relationship Type="http://schemas.openxmlformats.org/officeDocument/2006/relationships/sharedStrings" Target="/xl/sharedStrings.xml" Id="R1fb9742318794d8b" /><Relationship Type="http://schemas.openxmlformats.org/officeDocument/2006/relationships/worksheet" Target="/xl/worksheets/sheet1.xml" Id="Rd9d53348547b4f28" /><Relationship Type="http://schemas.openxmlformats.org/officeDocument/2006/relationships/worksheet" Target="/xl/worksheets/sheet2.xml" Id="R226369c778664947" /><Relationship Type="http://schemas.openxmlformats.org/officeDocument/2006/relationships/worksheet" Target="/xl/worksheets/sheet3.xml" Id="R0a55af21af724507" /><Relationship Type="http://schemas.openxmlformats.org/officeDocument/2006/relationships/worksheet" Target="/xl/worksheets/sheet4.xml" Id="R0f7351b0f9b2484a" /><Relationship Type="http://schemas.openxmlformats.org/officeDocument/2006/relationships/worksheet" Target="/xl/worksheets/sheet5.xml" Id="R6490e541ecc94da7" /></Relationships>
</file>

<file path=xl/tables/table1.xml><?xml version="1.0" encoding="utf-8"?>
<x:table xmlns:x="http://schemas.openxmlformats.org/spreadsheetml/2006/main" id="1" name="TargetCompanies" displayName="TargetCompanies" ref="A4:U44" headerRowCount="1" totalsRowCount="0" totalsRowShown="0">
  <x:tableColumns count="21">
    <x:tableColumn id="1" name="Ziel-ID"/>
    <x:tableColumn id="2" name="Branche"/>
    <x:tableColumn id="3" name="Unternehmen"/>
    <x:tableColumn id="4" name="Website"/>
    <x:tableColumn id="5" name="Bundesland / Land"/>
    <x:tableColumn id="6" name="Mitarbeitende (ca.)"/>
    <x:tableColumn id="7" name="Größenklasse"/>
    <x:tableColumn id="8" name="Claims (Anzahl)"/>
    <x:tableColumn id="9" name="Beispiel-Claims / URL"/>
    <x:tableColumn id="10" name="Aktuelle Tools (öffentlich)"/>
    <x:tableColumn id="11" name="Öffentlicher Anlass / Trigger"/>
    <x:tableColumn id="12" name="Kontaktrolle"/>
    <x:tableColumn id="13" name="Problem 0–3"/>
    <x:tableColumn id="14" name="Beleg-Komplexität 0–3"/>
    <x:tableColumn id="15" name="Zugang Entscheider 0–3"/>
    <x:tableColumn id="16" name="ICP-Score / 9"/>
    <x:tableColumn id="17" name="Priorität"/>
    <x:tableColumn id="18" name="Quellennachweis (URL)"/>
    <x:tableColumn id="19" name="Kontaktstatus"/>
    <x:tableColumn id="20" name="Follow-up am"/>
    <x:tableColumn id="21" name="Notiz / Hypothe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terviewLog" displayName="InterviewLog" ref="A4:R64" headerRowCount="1" totalsRowCount="0" totalsRowShown="0">
  <x:tableColumns count="18">
    <x:tableColumn id="1" name="Interview-ID"/>
    <x:tableColumn id="2" name="Ziel-ID"/>
    <x:tableColumn id="3" name="Datum"/>
    <x:tableColumn id="4" name="Rolle des Gesprächspartners"/>
    <x:tableColumn id="5" name="Branche"/>
    <x:tableColumn id="6" name="Unternehmensgröße"/>
    <x:tableColumn id="7" name="Anzahl Claims"/>
    <x:tableColumn id="8" name="Tool heute"/>
    <x:tableColumn id="9" name="Aktuelle Kosten €/Monat"/>
    <x:tableColumn id="10" name="Letztes reales Ereignis"/>
    <x:tableColumn id="11" name="Datum Ereignis"/>
    <x:tableColumn id="12" name="Auswirkung (Zeit / €)"/>
    <x:tableColumn id="13" name="Evidenz-Level"/>
    <x:tableColumn id="14" name="Konkreter Beleg (anonym)"/>
    <x:tableColumn id="15" name="Nächster Schritt"/>
    <x:tableColumn id="16" name="Follow-up-Status"/>
    <x:tableColumn id="17" name="Follow-up am"/>
    <x:tableColumn id="18" name="Lernnotizen / Zit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a626610be0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357f3699d54cd9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7" customHeight="1">
      <x:c r="A1" s="4" t="str">
        <x:v>VORNEQ  |  Dokument C  —  Marktinterviews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24" t="str">
        <x:v>Pilot-Marktforschung · Deutschland · 40 Firmen · 3 Branchen · SAFE_HOLD / NO_GO bleibt gültig</x:v>
      </x:c>
      <x:c r="B2" s="24"/>
      <x:c r="C2" s="24"/>
      <x:c r="D2" s="24"/>
      <x:c r="E2" s="24"/>
      <x:c r="F2" s="24"/>
      <x:c r="G2" s="24"/>
      <x:c r="H2" s="24"/>
    </x:row>
    <x:row r="4" ht="34" customHeight="1">
      <x:c r="A4" s="14" t="str">
        <x:v>Kennzahl</x:v>
      </x:c>
      <x:c r="B4" s="14" t="str">
        <x:v>Live-Wert</x:v>
      </x:c>
    </x:row>
    <x:row r="5">
      <x:c r="A5" s="40" t="str">
        <x:v>Zielplätze</x:v>
      </x:c>
      <x:c r="B5" s="43" t="n">
        <x:f>COUNTA(Zielunternehmen_40!A5:A44)</x:f>
        <x:v>40</x:v>
      </x:c>
    </x:row>
    <x:row r="6">
      <x:c r="A6" s="40" t="str">
        <x:v>Firmen ausgewählt</x:v>
      </x:c>
      <x:c r="B6" s="43" t="n">
        <x:f>COUNTA(Zielunternehmen_40!C5:C44)</x:f>
        <x:v>0</x:v>
      </x:c>
    </x:row>
    <x:row r="7">
      <x:c r="A7" s="40" t="str">
        <x:v>Kontaktiert / angeschrieben</x:v>
      </x:c>
      <x:c r="B7" s="43" t="n">
        <x:f>COUNTIF(Zielunternehmen_40!S5:S44,"Angeschrieben")</x:f>
        <x:v>0</x:v>
      </x:c>
    </x:row>
    <x:row r="8">
      <x:c r="A8" s="40" t="str">
        <x:v>Interviews (mit Datum)</x:v>
      </x:c>
      <x:c r="B8" s="43" t="n">
        <x:f>COUNT(Interviews!C5:C64)</x:f>
        <x:v>0</x:v>
      </x:c>
    </x:row>
    <x:row r="9">
      <x:c r="A9" s="40" t="str">
        <x:v>L1 - Signal</x:v>
      </x:c>
      <x:c r="B9" s="43" t="n">
        <x:f>COUNTIF(Interviews!M5:M64,"L1")</x:f>
        <x:v>0</x:v>
      </x:c>
    </x:row>
    <x:row r="10">
      <x:c r="A10" s="40" t="str">
        <x:v>L2 - Ereignis + Aufwand</x:v>
      </x:c>
      <x:c r="B10" s="43" t="n">
        <x:f>COUNTIF(Interviews!M5:M64,"L2")</x:f>
        <x:v>0</x:v>
      </x:c>
    </x:row>
    <x:row r="11">
      <x:c r="A11" s="40" t="str">
        <x:v>L3 - verbindlicher Folgeschritt</x:v>
      </x:c>
      <x:c r="B11" s="43" t="n">
        <x:f>COUNTIF(Interviews!M5:M64,"L3")</x:f>
        <x:v>0</x:v>
      </x:c>
    </x:row>
    <x:row r="12">
      <x:c r="A12" s="40" t="str">
        <x:v>A-Priorität Unternehmen</x:v>
      </x:c>
      <x:c r="B12" s="43" t="n">
        <x:f>COUNTIF(Zielunternehmen_40!Q5:Q44,"A")</x:f>
        <x:v>0</x:v>
      </x:c>
    </x:row>
    <x:row r="14" ht="34" customHeight="1">
      <x:c r="A14" s="14" t="str">
        <x:v>Segment</x:v>
      </x:c>
      <x:c r="B14" s="14" t="str">
        <x:v>Geplant</x:v>
      </x:c>
      <x:c r="C14" s="14" t="str">
        <x:v>Ausgewählt</x:v>
      </x:c>
      <x:c r="D14" s="14" t="str">
        <x:v>Interviews</x:v>
      </x:c>
    </x:row>
    <x:row r="15">
      <x:c r="A15" t="str">
        <x:v>Lebensmittel</x:v>
      </x:c>
      <x:c r="B15" t="n">
        <x:v>16</x:v>
      </x:c>
      <x:c r="C15" t="n">
        <x:f>COUNTIFS(Zielunternehmen_40!$B$5:$B$44,A15,Zielunternehmen_40!$C$5:$C$44,"&lt;&gt;")</x:f>
        <x:v>0</x:v>
      </x:c>
      <x:c r="D15" t="n">
        <x:f>COUNTIFS(Interviews!$E$5:$E$64,A15,Interviews!$C$5:$C$64,"&gt;0")</x:f>
        <x:v>0</x:v>
      </x:c>
    </x:row>
    <x:row r="16">
      <x:c r="A16" t="str">
        <x:v>Kosmetik</x:v>
      </x:c>
      <x:c r="B16" t="n">
        <x:v>12</x:v>
      </x:c>
      <x:c r="C16" t="n">
        <x:f>COUNTIFS(Zielunternehmen_40!$B$5:$B$44,A16,Zielunternehmen_40!$C$5:$C$44,"&lt;&gt;")</x:f>
        <x:v>0</x:v>
      </x:c>
      <x:c r="D16" t="n">
        <x:f>COUNTIFS(Interviews!$E$5:$E$64,A16,Interviews!$C$5:$C$64,"&gt;0")</x:f>
        <x:v>0</x:v>
      </x:c>
    </x:row>
    <x:row r="17">
      <x:c r="A17" t="str">
        <x:v>Textil</x:v>
      </x:c>
      <x:c r="B17" t="n">
        <x:v>12</x:v>
      </x:c>
      <x:c r="C17" t="n">
        <x:f>COUNTIFS(Zielunternehmen_40!$B$5:$B$44,A17,Zielunternehmen_40!$C$5:$C$44,"&lt;&gt;")</x:f>
        <x:v>0</x:v>
      </x:c>
      <x:c r="D17" t="n">
        <x:f>COUNTIFS(Interviews!$E$5:$E$64,A17,Interviews!$C$5:$C$64,"&gt;0")</x:f>
        <x:v>0</x:v>
      </x:c>
    </x:row>
    <x:row r="18">
      <x:c r="A18" s="46" t="str">
        <x:v>Gesamt</x:v>
      </x:c>
      <x:c r="B18" s="46" t="n">
        <x:v>40</x:v>
      </x:c>
      <x:c r="C18" s="46" t="n">
        <x:f>SUM(C15:C17)</x:f>
        <x:v>0</x:v>
      </x:c>
      <x:c r="D18" s="46" t="n">
        <x:f>SUM(D15:D17)</x:f>
        <x:v>0</x:v>
      </x:c>
    </x:row>
    <x:row r="20" ht="36" customHeight="1">
      <x:c r="A20" s="48" t="str">
        <x:v>ENTSCHEIDUNGSREGEL (Arbeitsannahme): Mindestens 8 echte Gespräche; 3 belastbare L2/L3-Signale vor einem MVP-Umfangsentscheid.</x:v>
      </x:c>
      <x:c r="B20" s="48"/>
      <x:c r="C20" s="48"/>
      <x:c r="D20" s="48"/>
      <x:c r="E20" s="48"/>
      <x:c r="F20" s="48"/>
      <x:c r="G20" s="48"/>
      <x:c r="H20" s="48"/>
    </x:row>
    <x:row r="22" ht="34" customHeight="1">
      <x:c r="A22" s="51" t="str">
        <x:v>L1 = Meinung/Interesse  ·  L2 = konkreter Vorfall mit Aufwand  ·  L3 = benannter Entscheider + verbindlicher nächster Schritt</x:v>
      </x:c>
      <x:c r="B22" s="51"/>
      <x:c r="C22" s="51"/>
      <x:c r="D22" s="51"/>
      <x:c r="E22" s="51"/>
      <x:c r="F22" s="51"/>
      <x:c r="G22" s="51"/>
      <x:c r="H22" s="51"/>
    </x:row>
  </x:sheetData>
  <x:mergeCells>
    <x:mergeCell ref="A1:H1"/>
    <x:mergeCell ref="A2:H2"/>
    <x:mergeCell ref="A20:H20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1" hidden="0" customWidth="1"/>
    <x:col min="4" max="4" width="33" hidden="0" customWidth="1"/>
    <x:col min="5" max="5" width="21" hidden="0" customWidth="1"/>
    <x:col min="6" max="6" width="19" hidden="0" customWidth="1"/>
    <x:col min="7" max="7" width="15" hidden="0" customWidth="1"/>
    <x:col min="8" max="8" width="17" hidden="0" customWidth="1"/>
    <x:col min="9" max="9" width="35" hidden="0" customWidth="1"/>
    <x:col min="10" max="10" width="29" hidden="0" customWidth="1"/>
    <x:col min="11" max="11" width="33" hidden="0" customWidth="1"/>
    <x:col min="12" max="12" width="19" hidden="0" customWidth="1"/>
    <x:col min="13" max="13" width="15" hidden="0" customWidth="1"/>
    <x:col min="14" max="14" width="19" hidden="0" customWidth="1"/>
    <x:col min="15" max="15" width="20" hidden="0" customWidth="1"/>
    <x:col min="16" max="16" width="16" hidden="0" customWidth="1"/>
    <x:col min="17" max="17" width="12" hidden="0" customWidth="1"/>
    <x:col min="18" max="18" width="34" hidden="0" customWidth="1"/>
    <x:col min="19" max="19" width="23" hidden="0" customWidth="1"/>
    <x:col min="20" max="20" width="16" hidden="0" customWidth="1"/>
    <x:col min="21" max="21" width="37" hidden="0" customWidth="1"/>
  </x:cols>
  <x:sheetData>
    <x:row r="1" ht="37" customHeight="1">
      <x:c r="A1" s="4" t="str">
        <x:v>VORNEQ  |  Dokument C  —  Zielunternehmen (40 Plätze)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</x:row>
    <x:row r="2" ht="26" customHeight="1">
      <x:c r="A2" s="9" t="str">
        <x:v>Auswahl durch den Eigentümer · keine Unternehmen vorbefüllt · nur öffentliche Unternehmensquellen verwenden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4" ht="34" customHeight="1">
      <x:c r="A4" s="14" t="str">
        <x:v>Ziel-ID</x:v>
      </x:c>
      <x:c r="B4" s="14" t="str">
        <x:v>Branche</x:v>
      </x:c>
      <x:c r="C4" s="14" t="str">
        <x:v>Unternehmen</x:v>
      </x:c>
      <x:c r="D4" s="14" t="str">
        <x:v>Website</x:v>
      </x:c>
      <x:c r="E4" s="14" t="str">
        <x:v>Bundesland / Land</x:v>
      </x:c>
      <x:c r="F4" s="14" t="str">
        <x:v>Mitarbeitende (ca.)</x:v>
      </x:c>
      <x:c r="G4" s="14" t="str">
        <x:v>Größenklasse</x:v>
      </x:c>
      <x:c r="H4" s="14" t="str">
        <x:v>Claims (Anzahl)</x:v>
      </x:c>
      <x:c r="I4" s="14" t="str">
        <x:v>Beispiel-Claims / URL</x:v>
      </x:c>
      <x:c r="J4" s="14" t="str">
        <x:v>Aktuelle Tools (öffentlich)</x:v>
      </x:c>
      <x:c r="K4" s="14" t="str">
        <x:v>Öffentlicher Anlass / Trigger</x:v>
      </x:c>
      <x:c r="L4" s="14" t="str">
        <x:v>Kontaktrolle</x:v>
      </x:c>
      <x:c r="M4" s="14" t="str">
        <x:v>Problem 0–3</x:v>
      </x:c>
      <x:c r="N4" s="14" t="str">
        <x:v>Beleg-Komplexität 0–3</x:v>
      </x:c>
      <x:c r="O4" s="14" t="str">
        <x:v>Zugang Entscheider 0–3</x:v>
      </x:c>
      <x:c r="P4" s="14" t="str">
        <x:v>ICP-Score / 9</x:v>
      </x:c>
      <x:c r="Q4" s="14" t="str">
        <x:v>Priorität</x:v>
      </x:c>
      <x:c r="R4" s="14" t="str">
        <x:v>Quellennachweis (URL)</x:v>
      </x:c>
      <x:c r="S4" s="14" t="str">
        <x:v>Kontaktstatus</x:v>
      </x:c>
      <x:c r="T4" s="14" t="str">
        <x:v>Follow-up am</x:v>
      </x:c>
      <x:c r="U4" s="14" t="str">
        <x:v>Notiz / Hypothese</x:v>
      </x:c>
    </x:row>
    <x:row r="5" ht="23" customHeight="1">
      <x:c r="A5" s="30" t="str">
        <x:v>F-01</x:v>
      </x:c>
      <x:c r="B5" s="30" t="str">
        <x:v>Lebensmittel</x:v>
      </x:c>
      <x:c r="C5" s="31"/>
      <x:c r="D5" s="31"/>
      <x:c r="E5" s="31"/>
      <x:c r="F5" s="31"/>
      <x:c r="G5" s="31"/>
      <x:c r="H5" s="31"/>
      <x:c r="I5" s="31"/>
      <x:c r="J5" s="31"/>
      <x:c r="K5" s="31"/>
      <x:c r="L5" s="31"/>
      <x:c r="M5" s="31"/>
      <x:c r="N5" s="31"/>
      <x:c r="O5" s="31"/>
      <x:c r="P5" s="32" t="str">
        <x:f>IF(C5="","",IF(COUNT(M5:O5)=0,"",SUM(M5:O5)))</x:f>
      </x:c>
      <x:c r="Q5" s="32" t="str">
        <x:f>IF(P5="","",IF(P5&gt;=7,"A",IF(P5&gt;=4,"B","C")))</x:f>
      </x:c>
      <x:c r="R5" s="31"/>
      <x:c r="S5" s="31" t="str">
        <x:v>Nicht recherchiert</x:v>
      </x:c>
      <x:c r="T5" s="33"/>
      <x:c r="U5" s="31"/>
    </x:row>
    <x:row r="6" ht="23" customHeight="1">
      <x:c r="A6" s="30" t="str">
        <x:v>F-02</x:v>
      </x:c>
      <x:c r="B6" s="30" t="str">
        <x:v>Lebensmittel</x:v>
      </x:c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  <x:c r="O6" s="31"/>
      <x:c r="P6" s="32" t="str">
        <x:f>IF(C6="","",IF(COUNT(M6:O6)=0,"",SUM(M6:O6)))</x:f>
      </x:c>
      <x:c r="Q6" s="32" t="str">
        <x:f>IF(P6="","",IF(P6&gt;=7,"A",IF(P6&gt;=4,"B","C")))</x:f>
      </x:c>
      <x:c r="R6" s="31"/>
      <x:c r="S6" s="31" t="str">
        <x:v>Nicht recherchiert</x:v>
      </x:c>
      <x:c r="T6" s="33"/>
      <x:c r="U6" s="31"/>
    </x:row>
    <x:row r="7" ht="23" customHeight="1">
      <x:c r="A7" s="30" t="str">
        <x:v>F-03</x:v>
      </x:c>
      <x:c r="B7" s="30" t="str">
        <x:v>Lebensmittel</x:v>
      </x:c>
      <x:c r="C7" s="31"/>
      <x:c r="D7" s="31"/>
      <x:c r="E7" s="31"/>
      <x:c r="F7" s="31"/>
      <x:c r="G7" s="31"/>
      <x:c r="H7" s="31"/>
      <x:c r="I7" s="31"/>
      <x:c r="J7" s="31"/>
      <x:c r="K7" s="31"/>
      <x:c r="L7" s="31"/>
      <x:c r="M7" s="31"/>
      <x:c r="N7" s="31"/>
      <x:c r="O7" s="31"/>
      <x:c r="P7" s="32" t="str">
        <x:f>IF(C7="","",IF(COUNT(M7:O7)=0,"",SUM(M7:O7)))</x:f>
      </x:c>
      <x:c r="Q7" s="32" t="str">
        <x:f>IF(P7="","",IF(P7&gt;=7,"A",IF(P7&gt;=4,"B","C")))</x:f>
      </x:c>
      <x:c r="R7" s="31"/>
      <x:c r="S7" s="31" t="str">
        <x:v>Nicht recherchiert</x:v>
      </x:c>
      <x:c r="T7" s="33"/>
      <x:c r="U7" s="31"/>
    </x:row>
    <x:row r="8" ht="23" customHeight="1">
      <x:c r="A8" s="30" t="str">
        <x:v>F-04</x:v>
      </x:c>
      <x:c r="B8" s="30" t="str">
        <x:v>Lebensmittel</x:v>
      </x:c>
      <x:c r="C8" s="31"/>
      <x:c r="D8" s="31"/>
      <x:c r="E8" s="31"/>
      <x:c r="F8" s="31"/>
      <x:c r="G8" s="31"/>
      <x:c r="H8" s="31"/>
      <x:c r="I8" s="31"/>
      <x:c r="J8" s="31"/>
      <x:c r="K8" s="31"/>
      <x:c r="L8" s="31"/>
      <x:c r="M8" s="31"/>
      <x:c r="N8" s="31"/>
      <x:c r="O8" s="31"/>
      <x:c r="P8" s="32" t="str">
        <x:f>IF(C8="","",IF(COUNT(M8:O8)=0,"",SUM(M8:O8)))</x:f>
      </x:c>
      <x:c r="Q8" s="32" t="str">
        <x:f>IF(P8="","",IF(P8&gt;=7,"A",IF(P8&gt;=4,"B","C")))</x:f>
      </x:c>
      <x:c r="R8" s="31"/>
      <x:c r="S8" s="31" t="str">
        <x:v>Nicht recherchiert</x:v>
      </x:c>
      <x:c r="T8" s="33"/>
      <x:c r="U8" s="31"/>
    </x:row>
    <x:row r="9" ht="23" customHeight="1">
      <x:c r="A9" s="30" t="str">
        <x:v>F-05</x:v>
      </x:c>
      <x:c r="B9" s="30" t="str">
        <x:v>Lebensmittel</x:v>
      </x:c>
      <x:c r="C9" s="31"/>
      <x:c r="D9" s="31"/>
      <x:c r="E9" s="31"/>
      <x:c r="F9" s="31"/>
      <x:c r="G9" s="31"/>
      <x:c r="H9" s="31"/>
      <x:c r="I9" s="31"/>
      <x:c r="J9" s="31"/>
      <x:c r="K9" s="31"/>
      <x:c r="L9" s="31"/>
      <x:c r="M9" s="31"/>
      <x:c r="N9" s="31"/>
      <x:c r="O9" s="31"/>
      <x:c r="P9" s="32" t="str">
        <x:f>IF(C9="","",IF(COUNT(M9:O9)=0,"",SUM(M9:O9)))</x:f>
      </x:c>
      <x:c r="Q9" s="32" t="str">
        <x:f>IF(P9="","",IF(P9&gt;=7,"A",IF(P9&gt;=4,"B","C")))</x:f>
      </x:c>
      <x:c r="R9" s="31"/>
      <x:c r="S9" s="31" t="str">
        <x:v>Nicht recherchiert</x:v>
      </x:c>
      <x:c r="T9" s="33"/>
      <x:c r="U9" s="31"/>
    </x:row>
    <x:row r="10" ht="23" customHeight="1">
      <x:c r="A10" s="30" t="str">
        <x:v>F-06</x:v>
      </x:c>
      <x:c r="B10" s="30" t="str">
        <x:v>Lebensmittel</x:v>
      </x:c>
      <x:c r="C10" s="31"/>
      <x:c r="D10" s="31"/>
      <x:c r="E10" s="31"/>
      <x:c r="F10" s="31"/>
      <x:c r="G10" s="31"/>
      <x:c r="H10" s="31"/>
      <x:c r="I10" s="31"/>
      <x:c r="J10" s="31"/>
      <x:c r="K10" s="31"/>
      <x:c r="L10" s="31"/>
      <x:c r="M10" s="31"/>
      <x:c r="N10" s="31"/>
      <x:c r="O10" s="31"/>
      <x:c r="P10" s="32" t="str">
        <x:f>IF(C10="","",IF(COUNT(M10:O10)=0,"",SUM(M10:O10)))</x:f>
      </x:c>
      <x:c r="Q10" s="32" t="str">
        <x:f>IF(P10="","",IF(P10&gt;=7,"A",IF(P10&gt;=4,"B","C")))</x:f>
      </x:c>
      <x:c r="R10" s="31"/>
      <x:c r="S10" s="31" t="str">
        <x:v>Nicht recherchiert</x:v>
      </x:c>
      <x:c r="T10" s="33"/>
      <x:c r="U10" s="31"/>
    </x:row>
    <x:row r="11" ht="23" customHeight="1">
      <x:c r="A11" s="30" t="str">
        <x:v>F-07</x:v>
      </x:c>
      <x:c r="B11" s="30" t="str">
        <x:v>Lebensmittel</x:v>
      </x:c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2" t="str">
        <x:f>IF(C11="","",IF(COUNT(M11:O11)=0,"",SUM(M11:O11)))</x:f>
      </x:c>
      <x:c r="Q11" s="32" t="str">
        <x:f>IF(P11="","",IF(P11&gt;=7,"A",IF(P11&gt;=4,"B","C")))</x:f>
      </x:c>
      <x:c r="R11" s="31"/>
      <x:c r="S11" s="31" t="str">
        <x:v>Nicht recherchiert</x:v>
      </x:c>
      <x:c r="T11" s="33"/>
      <x:c r="U11" s="31"/>
    </x:row>
    <x:row r="12" ht="23" customHeight="1">
      <x:c r="A12" s="30" t="str">
        <x:v>F-08</x:v>
      </x:c>
      <x:c r="B12" s="30" t="str">
        <x:v>Lebensmittel</x:v>
      </x:c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2" t="str">
        <x:f>IF(C12="","",IF(COUNT(M12:O12)=0,"",SUM(M12:O12)))</x:f>
      </x:c>
      <x:c r="Q12" s="32" t="str">
        <x:f>IF(P12="","",IF(P12&gt;=7,"A",IF(P12&gt;=4,"B","C")))</x:f>
      </x:c>
      <x:c r="R12" s="31"/>
      <x:c r="S12" s="31" t="str">
        <x:v>Nicht recherchiert</x:v>
      </x:c>
      <x:c r="T12" s="33"/>
      <x:c r="U12" s="31"/>
    </x:row>
    <x:row r="13" ht="23" customHeight="1">
      <x:c r="A13" s="30" t="str">
        <x:v>F-09</x:v>
      </x:c>
      <x:c r="B13" s="30" t="str">
        <x:v>Lebensmittel</x:v>
      </x:c>
      <x:c r="C13" s="31"/>
      <x:c r="D13" s="31"/>
      <x:c r="E13" s="31"/>
      <x:c r="F13" s="31"/>
      <x:c r="G13" s="31"/>
      <x:c r="H13" s="31"/>
      <x:c r="I13" s="31"/>
      <x:c r="J13" s="31"/>
      <x:c r="K13" s="31"/>
      <x:c r="L13" s="31"/>
      <x:c r="M13" s="31"/>
      <x:c r="N13" s="31"/>
      <x:c r="O13" s="31"/>
      <x:c r="P13" s="32" t="str">
        <x:f>IF(C13="","",IF(COUNT(M13:O13)=0,"",SUM(M13:O13)))</x:f>
      </x:c>
      <x:c r="Q13" s="32" t="str">
        <x:f>IF(P13="","",IF(P13&gt;=7,"A",IF(P13&gt;=4,"B","C")))</x:f>
      </x:c>
      <x:c r="R13" s="31"/>
      <x:c r="S13" s="31" t="str">
        <x:v>Nicht recherchiert</x:v>
      </x:c>
      <x:c r="T13" s="33"/>
      <x:c r="U13" s="31"/>
    </x:row>
    <x:row r="14" ht="23" customHeight="1">
      <x:c r="A14" s="30" t="str">
        <x:v>F-10</x:v>
      </x:c>
      <x:c r="B14" s="30" t="str">
        <x:v>Lebensmittel</x:v>
      </x:c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2" t="str">
        <x:f>IF(C14="","",IF(COUNT(M14:O14)=0,"",SUM(M14:O14)))</x:f>
      </x:c>
      <x:c r="Q14" s="32" t="str">
        <x:f>IF(P14="","",IF(P14&gt;=7,"A",IF(P14&gt;=4,"B","C")))</x:f>
      </x:c>
      <x:c r="R14" s="31"/>
      <x:c r="S14" s="31" t="str">
        <x:v>Nicht recherchiert</x:v>
      </x:c>
      <x:c r="T14" s="33"/>
      <x:c r="U14" s="31"/>
    </x:row>
    <x:row r="15" ht="23" customHeight="1">
      <x:c r="A15" s="30" t="str">
        <x:v>F-11</x:v>
      </x:c>
      <x:c r="B15" s="30" t="str">
        <x:v>Lebensmittel</x:v>
      </x:c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2" t="str">
        <x:f>IF(C15="","",IF(COUNT(M15:O15)=0,"",SUM(M15:O15)))</x:f>
      </x:c>
      <x:c r="Q15" s="32" t="str">
        <x:f>IF(P15="","",IF(P15&gt;=7,"A",IF(P15&gt;=4,"B","C")))</x:f>
      </x:c>
      <x:c r="R15" s="31"/>
      <x:c r="S15" s="31" t="str">
        <x:v>Nicht recherchiert</x:v>
      </x:c>
      <x:c r="T15" s="33"/>
      <x:c r="U15" s="31"/>
    </x:row>
    <x:row r="16" ht="23" customHeight="1">
      <x:c r="A16" s="30" t="str">
        <x:v>F-12</x:v>
      </x:c>
      <x:c r="B16" s="30" t="str">
        <x:v>Lebensmittel</x:v>
      </x:c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2" t="str">
        <x:f>IF(C16="","",IF(COUNT(M16:O16)=0,"",SUM(M16:O16)))</x:f>
      </x:c>
      <x:c r="Q16" s="32" t="str">
        <x:f>IF(P16="","",IF(P16&gt;=7,"A",IF(P16&gt;=4,"B","C")))</x:f>
      </x:c>
      <x:c r="R16" s="31"/>
      <x:c r="S16" s="31" t="str">
        <x:v>Nicht recherchiert</x:v>
      </x:c>
      <x:c r="T16" s="33"/>
      <x:c r="U16" s="31"/>
    </x:row>
    <x:row r="17" ht="23" customHeight="1">
      <x:c r="A17" s="30" t="str">
        <x:v>F-13</x:v>
      </x:c>
      <x:c r="B17" s="30" t="str">
        <x:v>Lebensmittel</x:v>
      </x:c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2" t="str">
        <x:f>IF(C17="","",IF(COUNT(M17:O17)=0,"",SUM(M17:O17)))</x:f>
      </x:c>
      <x:c r="Q17" s="32" t="str">
        <x:f>IF(P17="","",IF(P17&gt;=7,"A",IF(P17&gt;=4,"B","C")))</x:f>
      </x:c>
      <x:c r="R17" s="31"/>
      <x:c r="S17" s="31" t="str">
        <x:v>Nicht recherchiert</x:v>
      </x:c>
      <x:c r="T17" s="33"/>
      <x:c r="U17" s="31"/>
    </x:row>
    <x:row r="18" ht="23" customHeight="1">
      <x:c r="A18" s="30" t="str">
        <x:v>F-14</x:v>
      </x:c>
      <x:c r="B18" s="30" t="str">
        <x:v>Lebensmittel</x:v>
      </x:c>
      <x:c r="C18" s="31"/>
      <x:c r="D18" s="31"/>
      <x:c r="E18" s="31"/>
      <x:c r="F18" s="31"/>
      <x:c r="G18" s="31"/>
      <x:c r="H18" s="31"/>
      <x:c r="I18" s="31"/>
      <x:c r="J18" s="31"/>
      <x:c r="K18" s="31"/>
      <x:c r="L18" s="31"/>
      <x:c r="M18" s="31"/>
      <x:c r="N18" s="31"/>
      <x:c r="O18" s="31"/>
      <x:c r="P18" s="32" t="str">
        <x:f>IF(C18="","",IF(COUNT(M18:O18)=0,"",SUM(M18:O18)))</x:f>
      </x:c>
      <x:c r="Q18" s="32" t="str">
        <x:f>IF(P18="","",IF(P18&gt;=7,"A",IF(P18&gt;=4,"B","C")))</x:f>
      </x:c>
      <x:c r="R18" s="31"/>
      <x:c r="S18" s="31" t="str">
        <x:v>Nicht recherchiert</x:v>
      </x:c>
      <x:c r="T18" s="33"/>
      <x:c r="U18" s="31"/>
    </x:row>
    <x:row r="19" ht="23" customHeight="1">
      <x:c r="A19" s="30" t="str">
        <x:v>F-15</x:v>
      </x:c>
      <x:c r="B19" s="30" t="str">
        <x:v>Lebensmittel</x:v>
      </x:c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  <x:c r="P19" s="32" t="str">
        <x:f>IF(C19="","",IF(COUNT(M19:O19)=0,"",SUM(M19:O19)))</x:f>
      </x:c>
      <x:c r="Q19" s="32" t="str">
        <x:f>IF(P19="","",IF(P19&gt;=7,"A",IF(P19&gt;=4,"B","C")))</x:f>
      </x:c>
      <x:c r="R19" s="31"/>
      <x:c r="S19" s="31" t="str">
        <x:v>Nicht recherchiert</x:v>
      </x:c>
      <x:c r="T19" s="33"/>
      <x:c r="U19" s="31"/>
    </x:row>
    <x:row r="20" ht="23" customHeight="1">
      <x:c r="A20" s="30" t="str">
        <x:v>F-16</x:v>
      </x:c>
      <x:c r="B20" s="30" t="str">
        <x:v>Lebensmittel</x:v>
      </x:c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  <x:c r="O20" s="31"/>
      <x:c r="P20" s="32" t="str">
        <x:f>IF(C20="","",IF(COUNT(M20:O20)=0,"",SUM(M20:O20)))</x:f>
      </x:c>
      <x:c r="Q20" s="32" t="str">
        <x:f>IF(P20="","",IF(P20&gt;=7,"A",IF(P20&gt;=4,"B","C")))</x:f>
      </x:c>
      <x:c r="R20" s="31"/>
      <x:c r="S20" s="31" t="str">
        <x:v>Nicht recherchiert</x:v>
      </x:c>
      <x:c r="T20" s="33"/>
      <x:c r="U20" s="31"/>
    </x:row>
    <x:row r="21" ht="23" customHeight="1">
      <x:c r="A21" s="30" t="str">
        <x:v>K-01</x:v>
      </x:c>
      <x:c r="B21" s="30" t="str">
        <x:v>Kosmetik</x:v>
      </x:c>
      <x:c r="C21" s="31"/>
      <x:c r="D21" s="31"/>
      <x:c r="E21" s="31"/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2" t="str">
        <x:f>IF(C21="","",IF(COUNT(M21:O21)=0,"",SUM(M21:O21)))</x:f>
      </x:c>
      <x:c r="Q21" s="32" t="str">
        <x:f>IF(P21="","",IF(P21&gt;=7,"A",IF(P21&gt;=4,"B","C")))</x:f>
      </x:c>
      <x:c r="R21" s="31"/>
      <x:c r="S21" s="31" t="str">
        <x:v>Nicht recherchiert</x:v>
      </x:c>
      <x:c r="T21" s="33"/>
      <x:c r="U21" s="31"/>
    </x:row>
    <x:row r="22" ht="23" customHeight="1">
      <x:c r="A22" s="30" t="str">
        <x:v>K-02</x:v>
      </x:c>
      <x:c r="B22" s="30" t="str">
        <x:v>Kosmetik</x:v>
      </x:c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2" t="str">
        <x:f>IF(C22="","",IF(COUNT(M22:O22)=0,"",SUM(M22:O22)))</x:f>
      </x:c>
      <x:c r="Q22" s="32" t="str">
        <x:f>IF(P22="","",IF(P22&gt;=7,"A",IF(P22&gt;=4,"B","C")))</x:f>
      </x:c>
      <x:c r="R22" s="31"/>
      <x:c r="S22" s="31" t="str">
        <x:v>Nicht recherchiert</x:v>
      </x:c>
      <x:c r="T22" s="33"/>
      <x:c r="U22" s="31"/>
    </x:row>
    <x:row r="23" ht="23" customHeight="1">
      <x:c r="A23" s="30" t="str">
        <x:v>K-03</x:v>
      </x:c>
      <x:c r="B23" s="30" t="str">
        <x:v>Kosmetik</x:v>
      </x:c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2" t="str">
        <x:f>IF(C23="","",IF(COUNT(M23:O23)=0,"",SUM(M23:O23)))</x:f>
      </x:c>
      <x:c r="Q23" s="32" t="str">
        <x:f>IF(P23="","",IF(P23&gt;=7,"A",IF(P23&gt;=4,"B","C")))</x:f>
      </x:c>
      <x:c r="R23" s="31"/>
      <x:c r="S23" s="31" t="str">
        <x:v>Nicht recherchiert</x:v>
      </x:c>
      <x:c r="T23" s="33"/>
      <x:c r="U23" s="31"/>
    </x:row>
    <x:row r="24" ht="23" customHeight="1">
      <x:c r="A24" s="30" t="str">
        <x:v>K-04</x:v>
      </x:c>
      <x:c r="B24" s="30" t="str">
        <x:v>Kosmetik</x:v>
      </x:c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2" t="str">
        <x:f>IF(C24="","",IF(COUNT(M24:O24)=0,"",SUM(M24:O24)))</x:f>
      </x:c>
      <x:c r="Q24" s="32" t="str">
        <x:f>IF(P24="","",IF(P24&gt;=7,"A",IF(P24&gt;=4,"B","C")))</x:f>
      </x:c>
      <x:c r="R24" s="31"/>
      <x:c r="S24" s="31" t="str">
        <x:v>Nicht recherchiert</x:v>
      </x:c>
      <x:c r="T24" s="33"/>
      <x:c r="U24" s="31"/>
    </x:row>
    <x:row r="25" ht="23" customHeight="1">
      <x:c r="A25" s="30" t="str">
        <x:v>K-05</x:v>
      </x:c>
      <x:c r="B25" s="30" t="str">
        <x:v>Kosmetik</x:v>
      </x:c>
      <x:c r="C25" s="31"/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2" t="str">
        <x:f>IF(C25="","",IF(COUNT(M25:O25)=0,"",SUM(M25:O25)))</x:f>
      </x:c>
      <x:c r="Q25" s="32" t="str">
        <x:f>IF(P25="","",IF(P25&gt;=7,"A",IF(P25&gt;=4,"B","C")))</x:f>
      </x:c>
      <x:c r="R25" s="31"/>
      <x:c r="S25" s="31" t="str">
        <x:v>Nicht recherchiert</x:v>
      </x:c>
      <x:c r="T25" s="33"/>
      <x:c r="U25" s="31"/>
    </x:row>
    <x:row r="26" ht="23" customHeight="1">
      <x:c r="A26" s="30" t="str">
        <x:v>K-06</x:v>
      </x:c>
      <x:c r="B26" s="30" t="str">
        <x:v>Kosmetik</x:v>
      </x:c>
      <x:c r="C26" s="31"/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2" t="str">
        <x:f>IF(C26="","",IF(COUNT(M26:O26)=0,"",SUM(M26:O26)))</x:f>
      </x:c>
      <x:c r="Q26" s="32" t="str">
        <x:f>IF(P26="","",IF(P26&gt;=7,"A",IF(P26&gt;=4,"B","C")))</x:f>
      </x:c>
      <x:c r="R26" s="31"/>
      <x:c r="S26" s="31" t="str">
        <x:v>Nicht recherchiert</x:v>
      </x:c>
      <x:c r="T26" s="33"/>
      <x:c r="U26" s="31"/>
    </x:row>
    <x:row r="27" ht="23" customHeight="1">
      <x:c r="A27" s="30" t="str">
        <x:v>K-07</x:v>
      </x:c>
      <x:c r="B27" s="30" t="str">
        <x:v>Kosmetik</x:v>
      </x:c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2" t="str">
        <x:f>IF(C27="","",IF(COUNT(M27:O27)=0,"",SUM(M27:O27)))</x:f>
      </x:c>
      <x:c r="Q27" s="32" t="str">
        <x:f>IF(P27="","",IF(P27&gt;=7,"A",IF(P27&gt;=4,"B","C")))</x:f>
      </x:c>
      <x:c r="R27" s="31"/>
      <x:c r="S27" s="31" t="str">
        <x:v>Nicht recherchiert</x:v>
      </x:c>
      <x:c r="T27" s="33"/>
      <x:c r="U27" s="31"/>
    </x:row>
    <x:row r="28" ht="23" customHeight="1">
      <x:c r="A28" s="30" t="str">
        <x:v>K-08</x:v>
      </x:c>
      <x:c r="B28" s="30" t="str">
        <x:v>Kosmetik</x:v>
      </x:c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2" t="str">
        <x:f>IF(C28="","",IF(COUNT(M28:O28)=0,"",SUM(M28:O28)))</x:f>
      </x:c>
      <x:c r="Q28" s="32" t="str">
        <x:f>IF(P28="","",IF(P28&gt;=7,"A",IF(P28&gt;=4,"B","C")))</x:f>
      </x:c>
      <x:c r="R28" s="31"/>
      <x:c r="S28" s="31" t="str">
        <x:v>Nicht recherchiert</x:v>
      </x:c>
      <x:c r="T28" s="33"/>
      <x:c r="U28" s="31"/>
    </x:row>
    <x:row r="29" ht="23" customHeight="1">
      <x:c r="A29" s="30" t="str">
        <x:v>K-09</x:v>
      </x:c>
      <x:c r="B29" s="30" t="str">
        <x:v>Kosmetik</x:v>
      </x:c>
      <x:c r="C29" s="31"/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2" t="str">
        <x:f>IF(C29="","",IF(COUNT(M29:O29)=0,"",SUM(M29:O29)))</x:f>
      </x:c>
      <x:c r="Q29" s="32" t="str">
        <x:f>IF(P29="","",IF(P29&gt;=7,"A",IF(P29&gt;=4,"B","C")))</x:f>
      </x:c>
      <x:c r="R29" s="31"/>
      <x:c r="S29" s="31" t="str">
        <x:v>Nicht recherchiert</x:v>
      </x:c>
      <x:c r="T29" s="33"/>
      <x:c r="U29" s="31"/>
    </x:row>
    <x:row r="30" ht="23" customHeight="1">
      <x:c r="A30" s="30" t="str">
        <x:v>K-10</x:v>
      </x:c>
      <x:c r="B30" s="30" t="str">
        <x:v>Kosmetik</x:v>
      </x:c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2" t="str">
        <x:f>IF(C30="","",IF(COUNT(M30:O30)=0,"",SUM(M30:O30)))</x:f>
      </x:c>
      <x:c r="Q30" s="32" t="str">
        <x:f>IF(P30="","",IF(P30&gt;=7,"A",IF(P30&gt;=4,"B","C")))</x:f>
      </x:c>
      <x:c r="R30" s="31"/>
      <x:c r="S30" s="31" t="str">
        <x:v>Nicht recherchiert</x:v>
      </x:c>
      <x:c r="T30" s="33"/>
      <x:c r="U30" s="31"/>
    </x:row>
    <x:row r="31" ht="23" customHeight="1">
      <x:c r="A31" s="30" t="str">
        <x:v>K-11</x:v>
      </x:c>
      <x:c r="B31" s="30" t="str">
        <x:v>Kosmetik</x:v>
      </x:c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2" t="str">
        <x:f>IF(C31="","",IF(COUNT(M31:O31)=0,"",SUM(M31:O31)))</x:f>
      </x:c>
      <x:c r="Q31" s="32" t="str">
        <x:f>IF(P31="","",IF(P31&gt;=7,"A",IF(P31&gt;=4,"B","C")))</x:f>
      </x:c>
      <x:c r="R31" s="31"/>
      <x:c r="S31" s="31" t="str">
        <x:v>Nicht recherchiert</x:v>
      </x:c>
      <x:c r="T31" s="33"/>
      <x:c r="U31" s="31"/>
    </x:row>
    <x:row r="32" ht="23" customHeight="1">
      <x:c r="A32" s="30" t="str">
        <x:v>K-12</x:v>
      </x:c>
      <x:c r="B32" s="30" t="str">
        <x:v>Kosmetik</x:v>
      </x:c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2" t="str">
        <x:f>IF(C32="","",IF(COUNT(M32:O32)=0,"",SUM(M32:O32)))</x:f>
      </x:c>
      <x:c r="Q32" s="32" t="str">
        <x:f>IF(P32="","",IF(P32&gt;=7,"A",IF(P32&gt;=4,"B","C")))</x:f>
      </x:c>
      <x:c r="R32" s="31"/>
      <x:c r="S32" s="31" t="str">
        <x:v>Nicht recherchiert</x:v>
      </x:c>
      <x:c r="T32" s="33"/>
      <x:c r="U32" s="31"/>
    </x:row>
    <x:row r="33" ht="23" customHeight="1">
      <x:c r="A33" s="30" t="str">
        <x:v>T-01</x:v>
      </x:c>
      <x:c r="B33" s="30" t="str">
        <x:v>Textil</x:v>
      </x:c>
      <x:c r="C33" s="31"/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2" t="str">
        <x:f>IF(C33="","",IF(COUNT(M33:O33)=0,"",SUM(M33:O33)))</x:f>
      </x:c>
      <x:c r="Q33" s="32" t="str">
        <x:f>IF(P33="","",IF(P33&gt;=7,"A",IF(P33&gt;=4,"B","C")))</x:f>
      </x:c>
      <x:c r="R33" s="31"/>
      <x:c r="S33" s="31" t="str">
        <x:v>Nicht recherchiert</x:v>
      </x:c>
      <x:c r="T33" s="33"/>
      <x:c r="U33" s="31"/>
    </x:row>
    <x:row r="34" ht="23" customHeight="1">
      <x:c r="A34" s="30" t="str">
        <x:v>T-02</x:v>
      </x:c>
      <x:c r="B34" s="30" t="str">
        <x:v>Textil</x:v>
      </x:c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2" t="str">
        <x:f>IF(C34="","",IF(COUNT(M34:O34)=0,"",SUM(M34:O34)))</x:f>
      </x:c>
      <x:c r="Q34" s="32" t="str">
        <x:f>IF(P34="","",IF(P34&gt;=7,"A",IF(P34&gt;=4,"B","C")))</x:f>
      </x:c>
      <x:c r="R34" s="31"/>
      <x:c r="S34" s="31" t="str">
        <x:v>Nicht recherchiert</x:v>
      </x:c>
      <x:c r="T34" s="33"/>
      <x:c r="U34" s="31"/>
    </x:row>
    <x:row r="35" ht="23" customHeight="1">
      <x:c r="A35" s="30" t="str">
        <x:v>T-03</x:v>
      </x:c>
      <x:c r="B35" s="30" t="str">
        <x:v>Textil</x:v>
      </x:c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2" t="str">
        <x:f>IF(C35="","",IF(COUNT(M35:O35)=0,"",SUM(M35:O35)))</x:f>
      </x:c>
      <x:c r="Q35" s="32" t="str">
        <x:f>IF(P35="","",IF(P35&gt;=7,"A",IF(P35&gt;=4,"B","C")))</x:f>
      </x:c>
      <x:c r="R35" s="31"/>
      <x:c r="S35" s="31" t="str">
        <x:v>Nicht recherchiert</x:v>
      </x:c>
      <x:c r="T35" s="33"/>
      <x:c r="U35" s="31"/>
    </x:row>
    <x:row r="36" ht="23" customHeight="1">
      <x:c r="A36" s="30" t="str">
        <x:v>T-04</x:v>
      </x:c>
      <x:c r="B36" s="30" t="str">
        <x:v>Textil</x:v>
      </x:c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2" t="str">
        <x:f>IF(C36="","",IF(COUNT(M36:O36)=0,"",SUM(M36:O36)))</x:f>
      </x:c>
      <x:c r="Q36" s="32" t="str">
        <x:f>IF(P36="","",IF(P36&gt;=7,"A",IF(P36&gt;=4,"B","C")))</x:f>
      </x:c>
      <x:c r="R36" s="31"/>
      <x:c r="S36" s="31" t="str">
        <x:v>Nicht recherchiert</x:v>
      </x:c>
      <x:c r="T36" s="33"/>
      <x:c r="U36" s="31"/>
    </x:row>
    <x:row r="37" ht="23" customHeight="1">
      <x:c r="A37" s="30" t="str">
        <x:v>T-05</x:v>
      </x:c>
      <x:c r="B37" s="30" t="str">
        <x:v>Textil</x:v>
      </x:c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2" t="str">
        <x:f>IF(C37="","",IF(COUNT(M37:O37)=0,"",SUM(M37:O37)))</x:f>
      </x:c>
      <x:c r="Q37" s="32" t="str">
        <x:f>IF(P37="","",IF(P37&gt;=7,"A",IF(P37&gt;=4,"B","C")))</x:f>
      </x:c>
      <x:c r="R37" s="31"/>
      <x:c r="S37" s="31" t="str">
        <x:v>Nicht recherchiert</x:v>
      </x:c>
      <x:c r="T37" s="33"/>
      <x:c r="U37" s="31"/>
    </x:row>
    <x:row r="38" ht="23" customHeight="1">
      <x:c r="A38" s="30" t="str">
        <x:v>T-06</x:v>
      </x:c>
      <x:c r="B38" s="30" t="str">
        <x:v>Textil</x:v>
      </x:c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2" t="str">
        <x:f>IF(C38="","",IF(COUNT(M38:O38)=0,"",SUM(M38:O38)))</x:f>
      </x:c>
      <x:c r="Q38" s="32" t="str">
        <x:f>IF(P38="","",IF(P38&gt;=7,"A",IF(P38&gt;=4,"B","C")))</x:f>
      </x:c>
      <x:c r="R38" s="31"/>
      <x:c r="S38" s="31" t="str">
        <x:v>Nicht recherchiert</x:v>
      </x:c>
      <x:c r="T38" s="33"/>
      <x:c r="U38" s="31"/>
    </x:row>
    <x:row r="39" ht="23" customHeight="1">
      <x:c r="A39" s="30" t="str">
        <x:v>T-07</x:v>
      </x:c>
      <x:c r="B39" s="30" t="str">
        <x:v>Textil</x:v>
      </x:c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2" t="str">
        <x:f>IF(C39="","",IF(COUNT(M39:O39)=0,"",SUM(M39:O39)))</x:f>
      </x:c>
      <x:c r="Q39" s="32" t="str">
        <x:f>IF(P39="","",IF(P39&gt;=7,"A",IF(P39&gt;=4,"B","C")))</x:f>
      </x:c>
      <x:c r="R39" s="31"/>
      <x:c r="S39" s="31" t="str">
        <x:v>Nicht recherchiert</x:v>
      </x:c>
      <x:c r="T39" s="33"/>
      <x:c r="U39" s="31"/>
    </x:row>
    <x:row r="40" ht="23" customHeight="1">
      <x:c r="A40" s="30" t="str">
        <x:v>T-08</x:v>
      </x:c>
      <x:c r="B40" s="30" t="str">
        <x:v>Textil</x:v>
      </x:c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2" t="str">
        <x:f>IF(C40="","",IF(COUNT(M40:O40)=0,"",SUM(M40:O40)))</x:f>
      </x:c>
      <x:c r="Q40" s="32" t="str">
        <x:f>IF(P40="","",IF(P40&gt;=7,"A",IF(P40&gt;=4,"B","C")))</x:f>
      </x:c>
      <x:c r="R40" s="31"/>
      <x:c r="S40" s="31" t="str">
        <x:v>Nicht recherchiert</x:v>
      </x:c>
      <x:c r="T40" s="33"/>
      <x:c r="U40" s="31"/>
    </x:row>
    <x:row r="41" ht="23" customHeight="1">
      <x:c r="A41" s="30" t="str">
        <x:v>T-09</x:v>
      </x:c>
      <x:c r="B41" s="30" t="str">
        <x:v>Textil</x:v>
      </x:c>
      <x:c r="C41" s="31"/>
      <x:c r="D41" s="31"/>
      <x:c r="E41" s="31"/>
      <x:c r="F41" s="31"/>
      <x:c r="G41" s="31"/>
      <x:c r="H41" s="31"/>
      <x:c r="I41" s="31"/>
      <x:c r="J41" s="31"/>
      <x:c r="K41" s="31"/>
      <x:c r="L41" s="31"/>
      <x:c r="M41" s="31"/>
      <x:c r="N41" s="31"/>
      <x:c r="O41" s="31"/>
      <x:c r="P41" s="32" t="str">
        <x:f>IF(C41="","",IF(COUNT(M41:O41)=0,"",SUM(M41:O41)))</x:f>
      </x:c>
      <x:c r="Q41" s="32" t="str">
        <x:f>IF(P41="","",IF(P41&gt;=7,"A",IF(P41&gt;=4,"B","C")))</x:f>
      </x:c>
      <x:c r="R41" s="31"/>
      <x:c r="S41" s="31" t="str">
        <x:v>Nicht recherchiert</x:v>
      </x:c>
      <x:c r="T41" s="33"/>
      <x:c r="U41" s="31"/>
    </x:row>
    <x:row r="42" ht="23" customHeight="1">
      <x:c r="A42" s="30" t="str">
        <x:v>T-10</x:v>
      </x:c>
      <x:c r="B42" s="30" t="str">
        <x:v>Textil</x:v>
      </x:c>
      <x:c r="C42" s="31"/>
      <x:c r="D42" s="31"/>
      <x:c r="E42" s="31"/>
      <x:c r="F42" s="31"/>
      <x:c r="G42" s="31"/>
      <x:c r="H42" s="31"/>
      <x:c r="I42" s="31"/>
      <x:c r="J42" s="31"/>
      <x:c r="K42" s="31"/>
      <x:c r="L42" s="31"/>
      <x:c r="M42" s="31"/>
      <x:c r="N42" s="31"/>
      <x:c r="O42" s="31"/>
      <x:c r="P42" s="32" t="str">
        <x:f>IF(C42="","",IF(COUNT(M42:O42)=0,"",SUM(M42:O42)))</x:f>
      </x:c>
      <x:c r="Q42" s="32" t="str">
        <x:f>IF(P42="","",IF(P42&gt;=7,"A",IF(P42&gt;=4,"B","C")))</x:f>
      </x:c>
      <x:c r="R42" s="31"/>
      <x:c r="S42" s="31" t="str">
        <x:v>Nicht recherchiert</x:v>
      </x:c>
      <x:c r="T42" s="33"/>
      <x:c r="U42" s="31"/>
    </x:row>
    <x:row r="43" ht="23" customHeight="1">
      <x:c r="A43" s="30" t="str">
        <x:v>T-11</x:v>
      </x:c>
      <x:c r="B43" s="30" t="str">
        <x:v>Textil</x:v>
      </x:c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2" t="str">
        <x:f>IF(C43="","",IF(COUNT(M43:O43)=0,"",SUM(M43:O43)))</x:f>
      </x:c>
      <x:c r="Q43" s="32" t="str">
        <x:f>IF(P43="","",IF(P43&gt;=7,"A",IF(P43&gt;=4,"B","C")))</x:f>
      </x:c>
      <x:c r="R43" s="31"/>
      <x:c r="S43" s="31" t="str">
        <x:v>Nicht recherchiert</x:v>
      </x:c>
      <x:c r="T43" s="33"/>
      <x:c r="U43" s="31"/>
    </x:row>
    <x:row r="44" ht="23" customHeight="1">
      <x:c r="A44" s="30" t="str">
        <x:v>T-12</x:v>
      </x:c>
      <x:c r="B44" s="30" t="str">
        <x:v>Textil</x:v>
      </x:c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2" t="str">
        <x:f>IF(C44="","",IF(COUNT(M44:O44)=0,"",SUM(M44:O44)))</x:f>
      </x:c>
      <x:c r="Q44" s="32" t="str">
        <x:f>IF(P44="","",IF(P44&gt;=7,"A",IF(P44&gt;=4,"B","C")))</x:f>
      </x:c>
      <x:c r="R44" s="31"/>
      <x:c r="S44" s="31" t="str">
        <x:v>Nicht recherchiert</x:v>
      </x:c>
      <x:c r="T44" s="33"/>
      <x:c r="U44" s="31"/>
    </x:row>
  </x:sheetData>
  <x:mergeCells>
    <x:mergeCell ref="A1:U1"/>
    <x:mergeCell ref="A2:U2"/>
  </x:mergeCells>
  <x:conditionalFormatting sqref="Q5:Q44">
    <x:cfRule type="expression" dxfId="0" priority="1">
      <x:formula>Q5="A"</x:formula>
    </x:cfRule>
  </x:conditionalFormatting>
  <x:conditionalFormatting sqref="S5:S44">
    <x:cfRule type="expression" dxfId="1" priority="2">
      <x:formula>S5="Absage"</x:formula>
    </x:cfRule>
  </x:conditionalFormatting>
  <x:dataValidations count="6">
    <x:dataValidation type="list" sqref="B5:B44">
      <x:formula1>"Lebensmittel,Kosmetik,Textil"</x:formula1>
    </x:dataValidation>
    <x:dataValidation type="list" sqref="G5:G44">
      <x:formula1>"&lt;20,20–49,50–249,250–499,500+"</x:formula1>
    </x:dataValidation>
    <x:dataValidation type="list" sqref="S5:S44">
      <x:formula1>"Nicht recherchiert,Recherche läuft,Kontakt geplant,Angeschrieben,Antwort erhalten,Interview vereinbart,Interview geführt,Absage,Kein Fit"</x:formula1>
    </x:dataValidation>
    <x:dataValidation type="list" sqref="M5:M44">
      <x:formula1>"0,1,2,3"</x:formula1>
    </x:dataValidation>
    <x:dataValidation type="list" sqref="N5:N44">
      <x:formula1>"0,1,2,3"</x:formula1>
    </x:dataValidation>
    <x:dataValidation type="list" sqref="O5:O44">
      <x:formula1>"0,1,2,3"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a626610be04a64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6" hidden="0" customWidth="1"/>
    <x:col min="4" max="4" width="29" hidden="0" customWidth="1"/>
    <x:col min="5" max="5" width="17" hidden="0" customWidth="1"/>
    <x:col min="6" max="6" width="19" hidden="0" customWidth="1"/>
    <x:col min="7" max="7" width="17" hidden="0" customWidth="1"/>
    <x:col min="8" max="8" width="25" hidden="0" customWidth="1"/>
    <x:col min="9" max="9" width="22" hidden="0" customWidth="1"/>
    <x:col min="10" max="10" width="37" hidden="0" customWidth="1"/>
    <x:col min="11" max="11" width="17" hidden="0" customWidth="1"/>
    <x:col min="12" max="12" width="31" hidden="0" customWidth="1"/>
    <x:col min="13" max="13" width="17" hidden="0" customWidth="1"/>
    <x:col min="14" max="14" width="38" hidden="0" customWidth="1"/>
    <x:col min="15" max="15" width="31" hidden="0" customWidth="1"/>
    <x:col min="16" max="16" width="23" hidden="0" customWidth="1"/>
    <x:col min="17" max="17" width="17" hidden="0" customWidth="1"/>
    <x:col min="18" max="18" width="45" hidden="0" customWidth="1"/>
  </x:cols>
  <x:sheetData>
    <x:row r="1" ht="37" customHeight="1">
      <x:c r="A1" s="4" t="str">
        <x:v>VORNEQ  |  Dokument C  —  Interviewprotokoll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27" customHeight="1">
      <x:c r="A2" s="9" t="str">
        <x:v>Nur tatsächliche Gespräche dokumentieren · keine persönlichen Kontaktdaten oder vertraulichen Dokumente ohne Einwilligung speichern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</x:row>
    <x:row r="4" ht="34" customHeight="1">
      <x:c r="A4" s="14" t="str">
        <x:v>Interview-ID</x:v>
      </x:c>
      <x:c r="B4" s="14" t="str">
        <x:v>Ziel-ID</x:v>
      </x:c>
      <x:c r="C4" s="14" t="str">
        <x:v>Datum</x:v>
      </x:c>
      <x:c r="D4" s="14" t="str">
        <x:v>Rolle des Gesprächspartners</x:v>
      </x:c>
      <x:c r="E4" s="14" t="str">
        <x:v>Branche</x:v>
      </x:c>
      <x:c r="F4" s="14" t="str">
        <x:v>Unternehmensgröße</x:v>
      </x:c>
      <x:c r="G4" s="14" t="str">
        <x:v>Anzahl Claims</x:v>
      </x:c>
      <x:c r="H4" s="14" t="str">
        <x:v>Tool heute</x:v>
      </x:c>
      <x:c r="I4" s="14" t="str">
        <x:v>Aktuelle Kosten €/Monat</x:v>
      </x:c>
      <x:c r="J4" s="14" t="str">
        <x:v>Letztes reales Ereignis</x:v>
      </x:c>
      <x:c r="K4" s="14" t="str">
        <x:v>Datum Ereignis</x:v>
      </x:c>
      <x:c r="L4" s="14" t="str">
        <x:v>Auswirkung (Zeit / €)</x:v>
      </x:c>
      <x:c r="M4" s="14" t="str">
        <x:v>Evidenz-Level</x:v>
      </x:c>
      <x:c r="N4" s="14" t="str">
        <x:v>Konkreter Beleg (anonym)</x:v>
      </x:c>
      <x:c r="O4" s="14" t="str">
        <x:v>Nächster Schritt</x:v>
      </x:c>
      <x:c r="P4" s="14" t="str">
        <x:v>Follow-up-Status</x:v>
      </x:c>
      <x:c r="Q4" s="14" t="str">
        <x:v>Follow-up am</x:v>
      </x:c>
      <x:c r="R4" s="14" t="str">
        <x:v>Lernnotizen / Zitat</x:v>
      </x:c>
    </x:row>
    <x:row r="5" ht="22" customHeight="1">
      <x:c r="A5" s="20" t="str">
        <x:v>I-001</x:v>
      </x:c>
      <x:c r="B5"/>
      <x:c r="C5" s="18"/>
      <x:c r="D5"/>
      <x:c r="E5"/>
      <x:c r="F5"/>
      <x:c r="G5"/>
      <x:c r="H5"/>
      <x:c r="I5" s="38"/>
      <x:c r="J5"/>
      <x:c r="K5" s="18"/>
      <x:c r="L5"/>
      <x:c r="M5" s="8"/>
      <x:c r="N5"/>
      <x:c r="O5"/>
      <x:c r="P5"/>
      <x:c r="Q5" s="18"/>
      <x:c r="R5"/>
    </x:row>
    <x:row r="6" ht="22" customHeight="1">
      <x:c r="A6" s="20" t="str">
        <x:v>I-002</x:v>
      </x:c>
      <x:c r="B6"/>
      <x:c r="C6" s="18"/>
      <x:c r="D6"/>
      <x:c r="E6"/>
      <x:c r="F6"/>
      <x:c r="G6"/>
      <x:c r="H6"/>
      <x:c r="I6" s="38"/>
      <x:c r="J6"/>
      <x:c r="K6" s="18"/>
      <x:c r="L6"/>
      <x:c r="M6" s="8"/>
      <x:c r="N6"/>
      <x:c r="O6"/>
      <x:c r="P6"/>
      <x:c r="Q6" s="18"/>
      <x:c r="R6"/>
    </x:row>
    <x:row r="7" ht="22" customHeight="1">
      <x:c r="A7" s="20" t="str">
        <x:v>I-003</x:v>
      </x:c>
      <x:c r="B7"/>
      <x:c r="C7" s="18"/>
      <x:c r="D7"/>
      <x:c r="E7"/>
      <x:c r="F7"/>
      <x:c r="G7"/>
      <x:c r="H7"/>
      <x:c r="I7" s="38"/>
      <x:c r="J7"/>
      <x:c r="K7" s="18"/>
      <x:c r="L7"/>
      <x:c r="M7" s="8"/>
      <x:c r="N7"/>
      <x:c r="O7"/>
      <x:c r="P7"/>
      <x:c r="Q7" s="18"/>
      <x:c r="R7"/>
    </x:row>
    <x:row r="8" ht="22" customHeight="1">
      <x:c r="A8" s="20" t="str">
        <x:v>I-004</x:v>
      </x:c>
      <x:c r="B8"/>
      <x:c r="C8" s="18"/>
      <x:c r="D8"/>
      <x:c r="E8"/>
      <x:c r="F8"/>
      <x:c r="G8"/>
      <x:c r="H8"/>
      <x:c r="I8" s="38"/>
      <x:c r="J8"/>
      <x:c r="K8" s="18"/>
      <x:c r="L8"/>
      <x:c r="M8" s="8"/>
      <x:c r="N8"/>
      <x:c r="O8"/>
      <x:c r="P8"/>
      <x:c r="Q8" s="18"/>
      <x:c r="R8"/>
    </x:row>
    <x:row r="9" ht="22" customHeight="1">
      <x:c r="A9" s="20" t="str">
        <x:v>I-005</x:v>
      </x:c>
      <x:c r="B9"/>
      <x:c r="C9" s="18"/>
      <x:c r="D9"/>
      <x:c r="E9"/>
      <x:c r="F9"/>
      <x:c r="G9"/>
      <x:c r="H9"/>
      <x:c r="I9" s="38"/>
      <x:c r="J9"/>
      <x:c r="K9" s="18"/>
      <x:c r="L9"/>
      <x:c r="M9" s="8"/>
      <x:c r="N9"/>
      <x:c r="O9"/>
      <x:c r="P9"/>
      <x:c r="Q9" s="18"/>
      <x:c r="R9"/>
    </x:row>
    <x:row r="10" ht="22" customHeight="1">
      <x:c r="A10" s="20" t="str">
        <x:v>I-006</x:v>
      </x:c>
      <x:c r="B10"/>
      <x:c r="C10" s="18"/>
      <x:c r="D10"/>
      <x:c r="E10"/>
      <x:c r="F10"/>
      <x:c r="G10"/>
      <x:c r="H10"/>
      <x:c r="I10" s="38"/>
      <x:c r="J10"/>
      <x:c r="K10" s="18"/>
      <x:c r="L10"/>
      <x:c r="M10" s="8"/>
      <x:c r="N10"/>
      <x:c r="O10"/>
      <x:c r="P10"/>
      <x:c r="Q10" s="18"/>
      <x:c r="R10"/>
    </x:row>
    <x:row r="11" ht="22" customHeight="1">
      <x:c r="A11" s="20" t="str">
        <x:v>I-007</x:v>
      </x:c>
      <x:c r="B11"/>
      <x:c r="C11" s="18"/>
      <x:c r="D11"/>
      <x:c r="E11"/>
      <x:c r="F11"/>
      <x:c r="G11"/>
      <x:c r="H11"/>
      <x:c r="I11" s="38"/>
      <x:c r="J11"/>
      <x:c r="K11" s="18"/>
      <x:c r="L11"/>
      <x:c r="M11" s="8"/>
      <x:c r="N11"/>
      <x:c r="O11"/>
      <x:c r="P11"/>
      <x:c r="Q11" s="18"/>
      <x:c r="R11"/>
    </x:row>
    <x:row r="12" ht="22" customHeight="1">
      <x:c r="A12" s="20" t="str">
        <x:v>I-008</x:v>
      </x:c>
      <x:c r="B12"/>
      <x:c r="C12" s="18"/>
      <x:c r="D12"/>
      <x:c r="E12"/>
      <x:c r="F12"/>
      <x:c r="G12"/>
      <x:c r="H12"/>
      <x:c r="I12" s="38"/>
      <x:c r="J12"/>
      <x:c r="K12" s="18"/>
      <x:c r="L12"/>
      <x:c r="M12" s="8"/>
      <x:c r="N12"/>
      <x:c r="O12"/>
      <x:c r="P12"/>
      <x:c r="Q12" s="18"/>
      <x:c r="R12"/>
    </x:row>
    <x:row r="13" ht="22" customHeight="1">
      <x:c r="A13" s="20" t="str">
        <x:v>I-009</x:v>
      </x:c>
      <x:c r="B13"/>
      <x:c r="C13" s="18"/>
      <x:c r="D13"/>
      <x:c r="E13"/>
      <x:c r="F13"/>
      <x:c r="G13"/>
      <x:c r="H13"/>
      <x:c r="I13" s="38"/>
      <x:c r="J13"/>
      <x:c r="K13" s="18"/>
      <x:c r="L13"/>
      <x:c r="M13" s="8"/>
      <x:c r="N13"/>
      <x:c r="O13"/>
      <x:c r="P13"/>
      <x:c r="Q13" s="18"/>
      <x:c r="R13"/>
    </x:row>
    <x:row r="14" ht="22" customHeight="1">
      <x:c r="A14" s="20" t="str">
        <x:v>I-010</x:v>
      </x:c>
      <x:c r="B14"/>
      <x:c r="C14" s="18"/>
      <x:c r="D14"/>
      <x:c r="E14"/>
      <x:c r="F14"/>
      <x:c r="G14"/>
      <x:c r="H14"/>
      <x:c r="I14" s="38"/>
      <x:c r="J14"/>
      <x:c r="K14" s="18"/>
      <x:c r="L14"/>
      <x:c r="M14" s="8"/>
      <x:c r="N14"/>
      <x:c r="O14"/>
      <x:c r="P14"/>
      <x:c r="Q14" s="18"/>
      <x:c r="R14"/>
    </x:row>
    <x:row r="15" ht="22" customHeight="1">
      <x:c r="A15" s="20" t="str">
        <x:v>I-011</x:v>
      </x:c>
      <x:c r="B15"/>
      <x:c r="C15" s="18"/>
      <x:c r="D15"/>
      <x:c r="E15"/>
      <x:c r="F15"/>
      <x:c r="G15"/>
      <x:c r="H15"/>
      <x:c r="I15" s="38"/>
      <x:c r="J15"/>
      <x:c r="K15" s="18"/>
      <x:c r="L15"/>
      <x:c r="M15" s="8"/>
      <x:c r="N15"/>
      <x:c r="O15"/>
      <x:c r="P15"/>
      <x:c r="Q15" s="18"/>
      <x:c r="R15"/>
    </x:row>
    <x:row r="16" ht="22" customHeight="1">
      <x:c r="A16" s="20" t="str">
        <x:v>I-012</x:v>
      </x:c>
      <x:c r="B16"/>
      <x:c r="C16" s="18"/>
      <x:c r="D16"/>
      <x:c r="E16"/>
      <x:c r="F16"/>
      <x:c r="G16"/>
      <x:c r="H16"/>
      <x:c r="I16" s="38"/>
      <x:c r="J16"/>
      <x:c r="K16" s="18"/>
      <x:c r="L16"/>
      <x:c r="M16" s="8"/>
      <x:c r="N16"/>
      <x:c r="O16"/>
      <x:c r="P16"/>
      <x:c r="Q16" s="18"/>
      <x:c r="R16"/>
    </x:row>
    <x:row r="17" ht="22" customHeight="1">
      <x:c r="A17" s="20" t="str">
        <x:v>I-013</x:v>
      </x:c>
      <x:c r="B17"/>
      <x:c r="C17" s="18"/>
      <x:c r="D17"/>
      <x:c r="E17"/>
      <x:c r="F17"/>
      <x:c r="G17"/>
      <x:c r="H17"/>
      <x:c r="I17" s="38"/>
      <x:c r="J17"/>
      <x:c r="K17" s="18"/>
      <x:c r="L17"/>
      <x:c r="M17" s="8"/>
      <x:c r="N17"/>
      <x:c r="O17"/>
      <x:c r="P17"/>
      <x:c r="Q17" s="18"/>
      <x:c r="R17"/>
    </x:row>
    <x:row r="18" ht="22" customHeight="1">
      <x:c r="A18" s="20" t="str">
        <x:v>I-014</x:v>
      </x:c>
      <x:c r="B18"/>
      <x:c r="C18" s="18"/>
      <x:c r="D18"/>
      <x:c r="E18"/>
      <x:c r="F18"/>
      <x:c r="G18"/>
      <x:c r="H18"/>
      <x:c r="I18" s="38"/>
      <x:c r="J18"/>
      <x:c r="K18" s="18"/>
      <x:c r="L18"/>
      <x:c r="M18" s="8"/>
      <x:c r="N18"/>
      <x:c r="O18"/>
      <x:c r="P18"/>
      <x:c r="Q18" s="18"/>
      <x:c r="R18"/>
    </x:row>
    <x:row r="19" ht="22" customHeight="1">
      <x:c r="A19" s="20" t="str">
        <x:v>I-015</x:v>
      </x:c>
      <x:c r="B19"/>
      <x:c r="C19" s="18"/>
      <x:c r="D19"/>
      <x:c r="E19"/>
      <x:c r="F19"/>
      <x:c r="G19"/>
      <x:c r="H19"/>
      <x:c r="I19" s="38"/>
      <x:c r="J19"/>
      <x:c r="K19" s="18"/>
      <x:c r="L19"/>
      <x:c r="M19" s="8"/>
      <x:c r="N19"/>
      <x:c r="O19"/>
      <x:c r="P19"/>
      <x:c r="Q19" s="18"/>
      <x:c r="R19"/>
    </x:row>
    <x:row r="20" ht="22" customHeight="1">
      <x:c r="A20" s="20" t="str">
        <x:v>I-016</x:v>
      </x:c>
      <x:c r="B20"/>
      <x:c r="C20" s="18"/>
      <x:c r="D20"/>
      <x:c r="E20"/>
      <x:c r="F20"/>
      <x:c r="G20"/>
      <x:c r="H20"/>
      <x:c r="I20" s="38"/>
      <x:c r="J20"/>
      <x:c r="K20" s="18"/>
      <x:c r="L20"/>
      <x:c r="M20" s="8"/>
      <x:c r="N20"/>
      <x:c r="O20"/>
      <x:c r="P20"/>
      <x:c r="Q20" s="18"/>
      <x:c r="R20"/>
    </x:row>
    <x:row r="21" ht="22" customHeight="1">
      <x:c r="A21" s="20" t="str">
        <x:v>I-017</x:v>
      </x:c>
      <x:c r="B21"/>
      <x:c r="C21" s="18"/>
      <x:c r="D21"/>
      <x:c r="E21"/>
      <x:c r="F21"/>
      <x:c r="G21"/>
      <x:c r="H21"/>
      <x:c r="I21" s="38"/>
      <x:c r="J21"/>
      <x:c r="K21" s="18"/>
      <x:c r="L21"/>
      <x:c r="M21" s="8"/>
      <x:c r="N21"/>
      <x:c r="O21"/>
      <x:c r="P21"/>
      <x:c r="Q21" s="18"/>
      <x:c r="R21"/>
    </x:row>
    <x:row r="22" ht="22" customHeight="1">
      <x:c r="A22" s="20" t="str">
        <x:v>I-018</x:v>
      </x:c>
      <x:c r="B22"/>
      <x:c r="C22" s="18"/>
      <x:c r="D22"/>
      <x:c r="E22"/>
      <x:c r="F22"/>
      <x:c r="G22"/>
      <x:c r="H22"/>
      <x:c r="I22" s="38"/>
      <x:c r="J22"/>
      <x:c r="K22" s="18"/>
      <x:c r="L22"/>
      <x:c r="M22" s="8"/>
      <x:c r="N22"/>
      <x:c r="O22"/>
      <x:c r="P22"/>
      <x:c r="Q22" s="18"/>
      <x:c r="R22"/>
    </x:row>
    <x:row r="23" ht="22" customHeight="1">
      <x:c r="A23" s="20" t="str">
        <x:v>I-019</x:v>
      </x:c>
      <x:c r="B23"/>
      <x:c r="C23" s="18"/>
      <x:c r="D23"/>
      <x:c r="E23"/>
      <x:c r="F23"/>
      <x:c r="G23"/>
      <x:c r="H23"/>
      <x:c r="I23" s="38"/>
      <x:c r="J23"/>
      <x:c r="K23" s="18"/>
      <x:c r="L23"/>
      <x:c r="M23" s="8"/>
      <x:c r="N23"/>
      <x:c r="O23"/>
      <x:c r="P23"/>
      <x:c r="Q23" s="18"/>
      <x:c r="R23"/>
    </x:row>
    <x:row r="24" ht="22" customHeight="1">
      <x:c r="A24" s="20" t="str">
        <x:v>I-020</x:v>
      </x:c>
      <x:c r="B24"/>
      <x:c r="C24" s="18"/>
      <x:c r="D24"/>
      <x:c r="E24"/>
      <x:c r="F24"/>
      <x:c r="G24"/>
      <x:c r="H24"/>
      <x:c r="I24" s="38"/>
      <x:c r="J24"/>
      <x:c r="K24" s="18"/>
      <x:c r="L24"/>
      <x:c r="M24" s="8"/>
      <x:c r="N24"/>
      <x:c r="O24"/>
      <x:c r="P24"/>
      <x:c r="Q24" s="18"/>
      <x:c r="R24"/>
    </x:row>
    <x:row r="25" ht="22" customHeight="1">
      <x:c r="A25" s="20" t="str">
        <x:v>I-021</x:v>
      </x:c>
      <x:c r="B25"/>
      <x:c r="C25" s="18"/>
      <x:c r="D25"/>
      <x:c r="E25"/>
      <x:c r="F25"/>
      <x:c r="G25"/>
      <x:c r="H25"/>
      <x:c r="I25" s="38"/>
      <x:c r="J25"/>
      <x:c r="K25" s="18"/>
      <x:c r="L25"/>
      <x:c r="M25" s="8"/>
      <x:c r="N25"/>
      <x:c r="O25"/>
      <x:c r="P25"/>
      <x:c r="Q25" s="18"/>
      <x:c r="R25"/>
    </x:row>
    <x:row r="26" ht="22" customHeight="1">
      <x:c r="A26" s="20" t="str">
        <x:v>I-022</x:v>
      </x:c>
      <x:c r="B26"/>
      <x:c r="C26" s="18"/>
      <x:c r="D26"/>
      <x:c r="E26"/>
      <x:c r="F26"/>
      <x:c r="G26"/>
      <x:c r="H26"/>
      <x:c r="I26" s="38"/>
      <x:c r="J26"/>
      <x:c r="K26" s="18"/>
      <x:c r="L26"/>
      <x:c r="M26" s="8"/>
      <x:c r="N26"/>
      <x:c r="O26"/>
      <x:c r="P26"/>
      <x:c r="Q26" s="18"/>
      <x:c r="R26"/>
    </x:row>
    <x:row r="27" ht="22" customHeight="1">
      <x:c r="A27" s="20" t="str">
        <x:v>I-023</x:v>
      </x:c>
      <x:c r="B27"/>
      <x:c r="C27" s="18"/>
      <x:c r="D27"/>
      <x:c r="E27"/>
      <x:c r="F27"/>
      <x:c r="G27"/>
      <x:c r="H27"/>
      <x:c r="I27" s="38"/>
      <x:c r="J27"/>
      <x:c r="K27" s="18"/>
      <x:c r="L27"/>
      <x:c r="M27" s="8"/>
      <x:c r="N27"/>
      <x:c r="O27"/>
      <x:c r="P27"/>
      <x:c r="Q27" s="18"/>
      <x:c r="R27"/>
    </x:row>
    <x:row r="28" ht="22" customHeight="1">
      <x:c r="A28" s="20" t="str">
        <x:v>I-024</x:v>
      </x:c>
      <x:c r="B28"/>
      <x:c r="C28" s="18"/>
      <x:c r="D28"/>
      <x:c r="E28"/>
      <x:c r="F28"/>
      <x:c r="G28"/>
      <x:c r="H28"/>
      <x:c r="I28" s="38"/>
      <x:c r="J28"/>
      <x:c r="K28" s="18"/>
      <x:c r="L28"/>
      <x:c r="M28" s="8"/>
      <x:c r="N28"/>
      <x:c r="O28"/>
      <x:c r="P28"/>
      <x:c r="Q28" s="18"/>
      <x:c r="R28"/>
    </x:row>
    <x:row r="29" ht="22" customHeight="1">
      <x:c r="A29" s="20" t="str">
        <x:v>I-025</x:v>
      </x:c>
      <x:c r="B29"/>
      <x:c r="C29" s="18"/>
      <x:c r="D29"/>
      <x:c r="E29"/>
      <x:c r="F29"/>
      <x:c r="G29"/>
      <x:c r="H29"/>
      <x:c r="I29" s="38"/>
      <x:c r="J29"/>
      <x:c r="K29" s="18"/>
      <x:c r="L29"/>
      <x:c r="M29" s="8"/>
      <x:c r="N29"/>
      <x:c r="O29"/>
      <x:c r="P29"/>
      <x:c r="Q29" s="18"/>
      <x:c r="R29"/>
    </x:row>
    <x:row r="30" ht="22" customHeight="1">
      <x:c r="A30" s="20" t="str">
        <x:v>I-026</x:v>
      </x:c>
      <x:c r="B30"/>
      <x:c r="C30" s="18"/>
      <x:c r="D30"/>
      <x:c r="E30"/>
      <x:c r="F30"/>
      <x:c r="G30"/>
      <x:c r="H30"/>
      <x:c r="I30" s="38"/>
      <x:c r="J30"/>
      <x:c r="K30" s="18"/>
      <x:c r="L30"/>
      <x:c r="M30" s="8"/>
      <x:c r="N30"/>
      <x:c r="O30"/>
      <x:c r="P30"/>
      <x:c r="Q30" s="18"/>
      <x:c r="R30"/>
    </x:row>
    <x:row r="31" ht="22" customHeight="1">
      <x:c r="A31" s="20" t="str">
        <x:v>I-027</x:v>
      </x:c>
      <x:c r="B31"/>
      <x:c r="C31" s="18"/>
      <x:c r="D31"/>
      <x:c r="E31"/>
      <x:c r="F31"/>
      <x:c r="G31"/>
      <x:c r="H31"/>
      <x:c r="I31" s="38"/>
      <x:c r="J31"/>
      <x:c r="K31" s="18"/>
      <x:c r="L31"/>
      <x:c r="M31" s="8"/>
      <x:c r="N31"/>
      <x:c r="O31"/>
      <x:c r="P31"/>
      <x:c r="Q31" s="18"/>
      <x:c r="R31"/>
    </x:row>
    <x:row r="32" ht="22" customHeight="1">
      <x:c r="A32" s="20" t="str">
        <x:v>I-028</x:v>
      </x:c>
      <x:c r="B32"/>
      <x:c r="C32" s="18"/>
      <x:c r="D32"/>
      <x:c r="E32"/>
      <x:c r="F32"/>
      <x:c r="G32"/>
      <x:c r="H32"/>
      <x:c r="I32" s="38"/>
      <x:c r="J32"/>
      <x:c r="K32" s="18"/>
      <x:c r="L32"/>
      <x:c r="M32" s="8"/>
      <x:c r="N32"/>
      <x:c r="O32"/>
      <x:c r="P32"/>
      <x:c r="Q32" s="18"/>
      <x:c r="R32"/>
    </x:row>
    <x:row r="33" ht="22" customHeight="1">
      <x:c r="A33" s="20" t="str">
        <x:v>I-029</x:v>
      </x:c>
      <x:c r="B33"/>
      <x:c r="C33" s="18"/>
      <x:c r="D33"/>
      <x:c r="E33"/>
      <x:c r="F33"/>
      <x:c r="G33"/>
      <x:c r="H33"/>
      <x:c r="I33" s="38"/>
      <x:c r="J33"/>
      <x:c r="K33" s="18"/>
      <x:c r="L33"/>
      <x:c r="M33" s="8"/>
      <x:c r="N33"/>
      <x:c r="O33"/>
      <x:c r="P33"/>
      <x:c r="Q33" s="18"/>
      <x:c r="R33"/>
    </x:row>
    <x:row r="34" ht="22" customHeight="1">
      <x:c r="A34" s="20" t="str">
        <x:v>I-030</x:v>
      </x:c>
      <x:c r="B34"/>
      <x:c r="C34" s="18"/>
      <x:c r="D34"/>
      <x:c r="E34"/>
      <x:c r="F34"/>
      <x:c r="G34"/>
      <x:c r="H34"/>
      <x:c r="I34" s="38"/>
      <x:c r="J34"/>
      <x:c r="K34" s="18"/>
      <x:c r="L34"/>
      <x:c r="M34" s="8"/>
      <x:c r="N34"/>
      <x:c r="O34"/>
      <x:c r="P34"/>
      <x:c r="Q34" s="18"/>
      <x:c r="R34"/>
    </x:row>
    <x:row r="35" ht="22" customHeight="1">
      <x:c r="A35" s="20" t="str">
        <x:v>I-031</x:v>
      </x:c>
      <x:c r="B35"/>
      <x:c r="C35" s="18"/>
      <x:c r="D35"/>
      <x:c r="E35"/>
      <x:c r="F35"/>
      <x:c r="G35"/>
      <x:c r="H35"/>
      <x:c r="I35" s="38"/>
      <x:c r="J35"/>
      <x:c r="K35" s="18"/>
      <x:c r="L35"/>
      <x:c r="M35" s="8"/>
      <x:c r="N35"/>
      <x:c r="O35"/>
      <x:c r="P35"/>
      <x:c r="Q35" s="18"/>
      <x:c r="R35"/>
    </x:row>
    <x:row r="36" ht="22" customHeight="1">
      <x:c r="A36" s="20" t="str">
        <x:v>I-032</x:v>
      </x:c>
      <x:c r="B36"/>
      <x:c r="C36" s="18"/>
      <x:c r="D36"/>
      <x:c r="E36"/>
      <x:c r="F36"/>
      <x:c r="G36"/>
      <x:c r="H36"/>
      <x:c r="I36" s="38"/>
      <x:c r="J36"/>
      <x:c r="K36" s="18"/>
      <x:c r="L36"/>
      <x:c r="M36" s="8"/>
      <x:c r="N36"/>
      <x:c r="O36"/>
      <x:c r="P36"/>
      <x:c r="Q36" s="18"/>
      <x:c r="R36"/>
    </x:row>
    <x:row r="37" ht="22" customHeight="1">
      <x:c r="A37" s="20" t="str">
        <x:v>I-033</x:v>
      </x:c>
      <x:c r="B37"/>
      <x:c r="C37" s="18"/>
      <x:c r="D37"/>
      <x:c r="E37"/>
      <x:c r="F37"/>
      <x:c r="G37"/>
      <x:c r="H37"/>
      <x:c r="I37" s="38"/>
      <x:c r="J37"/>
      <x:c r="K37" s="18"/>
      <x:c r="L37"/>
      <x:c r="M37" s="8"/>
      <x:c r="N37"/>
      <x:c r="O37"/>
      <x:c r="P37"/>
      <x:c r="Q37" s="18"/>
      <x:c r="R37"/>
    </x:row>
    <x:row r="38" ht="22" customHeight="1">
      <x:c r="A38" s="20" t="str">
        <x:v>I-034</x:v>
      </x:c>
      <x:c r="B38"/>
      <x:c r="C38" s="18"/>
      <x:c r="D38"/>
      <x:c r="E38"/>
      <x:c r="F38"/>
      <x:c r="G38"/>
      <x:c r="H38"/>
      <x:c r="I38" s="38"/>
      <x:c r="J38"/>
      <x:c r="K38" s="18"/>
      <x:c r="L38"/>
      <x:c r="M38" s="8"/>
      <x:c r="N38"/>
      <x:c r="O38"/>
      <x:c r="P38"/>
      <x:c r="Q38" s="18"/>
      <x:c r="R38"/>
    </x:row>
    <x:row r="39" ht="22" customHeight="1">
      <x:c r="A39" s="20" t="str">
        <x:v>I-035</x:v>
      </x:c>
      <x:c r="B39"/>
      <x:c r="C39" s="18"/>
      <x:c r="D39"/>
      <x:c r="E39"/>
      <x:c r="F39"/>
      <x:c r="G39"/>
      <x:c r="H39"/>
      <x:c r="I39" s="38"/>
      <x:c r="J39"/>
      <x:c r="K39" s="18"/>
      <x:c r="L39"/>
      <x:c r="M39" s="8"/>
      <x:c r="N39"/>
      <x:c r="O39"/>
      <x:c r="P39"/>
      <x:c r="Q39" s="18"/>
      <x:c r="R39"/>
    </x:row>
    <x:row r="40" ht="22" customHeight="1">
      <x:c r="A40" s="20" t="str">
        <x:v>I-036</x:v>
      </x:c>
      <x:c r="B40"/>
      <x:c r="C40" s="18"/>
      <x:c r="D40"/>
      <x:c r="E40"/>
      <x:c r="F40"/>
      <x:c r="G40"/>
      <x:c r="H40"/>
      <x:c r="I40" s="38"/>
      <x:c r="J40"/>
      <x:c r="K40" s="18"/>
      <x:c r="L40"/>
      <x:c r="M40" s="8"/>
      <x:c r="N40"/>
      <x:c r="O40"/>
      <x:c r="P40"/>
      <x:c r="Q40" s="18"/>
      <x:c r="R40"/>
    </x:row>
    <x:row r="41" ht="22" customHeight="1">
      <x:c r="A41" s="20" t="str">
        <x:v>I-037</x:v>
      </x:c>
      <x:c r="B41"/>
      <x:c r="C41" s="18"/>
      <x:c r="D41"/>
      <x:c r="E41"/>
      <x:c r="F41"/>
      <x:c r="G41"/>
      <x:c r="H41"/>
      <x:c r="I41" s="38"/>
      <x:c r="J41"/>
      <x:c r="K41" s="18"/>
      <x:c r="L41"/>
      <x:c r="M41" s="8"/>
      <x:c r="N41"/>
      <x:c r="O41"/>
      <x:c r="P41"/>
      <x:c r="Q41" s="18"/>
      <x:c r="R41"/>
    </x:row>
    <x:row r="42" ht="22" customHeight="1">
      <x:c r="A42" s="20" t="str">
        <x:v>I-038</x:v>
      </x:c>
      <x:c r="B42"/>
      <x:c r="C42" s="18"/>
      <x:c r="D42"/>
      <x:c r="E42"/>
      <x:c r="F42"/>
      <x:c r="G42"/>
      <x:c r="H42"/>
      <x:c r="I42" s="38"/>
      <x:c r="J42"/>
      <x:c r="K42" s="18"/>
      <x:c r="L42"/>
      <x:c r="M42" s="8"/>
      <x:c r="N42"/>
      <x:c r="O42"/>
      <x:c r="P42"/>
      <x:c r="Q42" s="18"/>
      <x:c r="R42"/>
    </x:row>
    <x:row r="43" ht="22" customHeight="1">
      <x:c r="A43" s="20" t="str">
        <x:v>I-039</x:v>
      </x:c>
      <x:c r="B43"/>
      <x:c r="C43" s="18"/>
      <x:c r="D43"/>
      <x:c r="E43"/>
      <x:c r="F43"/>
      <x:c r="G43"/>
      <x:c r="H43"/>
      <x:c r="I43" s="38"/>
      <x:c r="J43"/>
      <x:c r="K43" s="18"/>
      <x:c r="L43"/>
      <x:c r="M43" s="8"/>
      <x:c r="N43"/>
      <x:c r="O43"/>
      <x:c r="P43"/>
      <x:c r="Q43" s="18"/>
      <x:c r="R43"/>
    </x:row>
    <x:row r="44" ht="22" customHeight="1">
      <x:c r="A44" s="20" t="str">
        <x:v>I-040</x:v>
      </x:c>
      <x:c r="B44"/>
      <x:c r="C44" s="18"/>
      <x:c r="D44"/>
      <x:c r="E44"/>
      <x:c r="F44"/>
      <x:c r="G44"/>
      <x:c r="H44"/>
      <x:c r="I44" s="38"/>
      <x:c r="J44"/>
      <x:c r="K44" s="18"/>
      <x:c r="L44"/>
      <x:c r="M44" s="8"/>
      <x:c r="N44"/>
      <x:c r="O44"/>
      <x:c r="P44"/>
      <x:c r="Q44" s="18"/>
      <x:c r="R44"/>
    </x:row>
    <x:row r="45" ht="22" customHeight="1">
      <x:c r="A45" s="20" t="str">
        <x:v>I-041</x:v>
      </x:c>
      <x:c r="B45"/>
      <x:c r="C45" s="18"/>
      <x:c r="D45"/>
      <x:c r="E45"/>
      <x:c r="F45"/>
      <x:c r="G45"/>
      <x:c r="H45"/>
      <x:c r="I45" s="38"/>
      <x:c r="J45"/>
      <x:c r="K45" s="18"/>
      <x:c r="L45"/>
      <x:c r="M45" s="8"/>
      <x:c r="N45"/>
      <x:c r="O45"/>
      <x:c r="P45"/>
      <x:c r="Q45" s="18"/>
      <x:c r="R45"/>
    </x:row>
    <x:row r="46" ht="22" customHeight="1">
      <x:c r="A46" s="20" t="str">
        <x:v>I-042</x:v>
      </x:c>
      <x:c r="B46"/>
      <x:c r="C46" s="18"/>
      <x:c r="D46"/>
      <x:c r="E46"/>
      <x:c r="F46"/>
      <x:c r="G46"/>
      <x:c r="H46"/>
      <x:c r="I46" s="38"/>
      <x:c r="J46"/>
      <x:c r="K46" s="18"/>
      <x:c r="L46"/>
      <x:c r="M46" s="8"/>
      <x:c r="N46"/>
      <x:c r="O46"/>
      <x:c r="P46"/>
      <x:c r="Q46" s="18"/>
      <x:c r="R46"/>
    </x:row>
    <x:row r="47" ht="22" customHeight="1">
      <x:c r="A47" s="20" t="str">
        <x:v>I-043</x:v>
      </x:c>
      <x:c r="B47"/>
      <x:c r="C47" s="18"/>
      <x:c r="D47"/>
      <x:c r="E47"/>
      <x:c r="F47"/>
      <x:c r="G47"/>
      <x:c r="H47"/>
      <x:c r="I47" s="38"/>
      <x:c r="J47"/>
      <x:c r="K47" s="18"/>
      <x:c r="L47"/>
      <x:c r="M47" s="8"/>
      <x:c r="N47"/>
      <x:c r="O47"/>
      <x:c r="P47"/>
      <x:c r="Q47" s="18"/>
      <x:c r="R47"/>
    </x:row>
    <x:row r="48" ht="22" customHeight="1">
      <x:c r="A48" s="20" t="str">
        <x:v>I-044</x:v>
      </x:c>
      <x:c r="B48"/>
      <x:c r="C48" s="18"/>
      <x:c r="D48"/>
      <x:c r="E48"/>
      <x:c r="F48"/>
      <x:c r="G48"/>
      <x:c r="H48"/>
      <x:c r="I48" s="38"/>
      <x:c r="J48"/>
      <x:c r="K48" s="18"/>
      <x:c r="L48"/>
      <x:c r="M48" s="8"/>
      <x:c r="N48"/>
      <x:c r="O48"/>
      <x:c r="P48"/>
      <x:c r="Q48" s="18"/>
      <x:c r="R48"/>
    </x:row>
    <x:row r="49" ht="22" customHeight="1">
      <x:c r="A49" s="20" t="str">
        <x:v>I-045</x:v>
      </x:c>
      <x:c r="B49"/>
      <x:c r="C49" s="18"/>
      <x:c r="D49"/>
      <x:c r="E49"/>
      <x:c r="F49"/>
      <x:c r="G49"/>
      <x:c r="H49"/>
      <x:c r="I49" s="38"/>
      <x:c r="J49"/>
      <x:c r="K49" s="18"/>
      <x:c r="L49"/>
      <x:c r="M49" s="8"/>
      <x:c r="N49"/>
      <x:c r="O49"/>
      <x:c r="P49"/>
      <x:c r="Q49" s="18"/>
      <x:c r="R49"/>
    </x:row>
    <x:row r="50" ht="22" customHeight="1">
      <x:c r="A50" s="20" t="str">
        <x:v>I-046</x:v>
      </x:c>
      <x:c r="B50"/>
      <x:c r="C50" s="18"/>
      <x:c r="D50"/>
      <x:c r="E50"/>
      <x:c r="F50"/>
      <x:c r="G50"/>
      <x:c r="H50"/>
      <x:c r="I50" s="38"/>
      <x:c r="J50"/>
      <x:c r="K50" s="18"/>
      <x:c r="L50"/>
      <x:c r="M50" s="8"/>
      <x:c r="N50"/>
      <x:c r="O50"/>
      <x:c r="P50"/>
      <x:c r="Q50" s="18"/>
      <x:c r="R50"/>
    </x:row>
    <x:row r="51" ht="22" customHeight="1">
      <x:c r="A51" s="20" t="str">
        <x:v>I-047</x:v>
      </x:c>
      <x:c r="B51"/>
      <x:c r="C51" s="18"/>
      <x:c r="D51"/>
      <x:c r="E51"/>
      <x:c r="F51"/>
      <x:c r="G51"/>
      <x:c r="H51"/>
      <x:c r="I51" s="38"/>
      <x:c r="J51"/>
      <x:c r="K51" s="18"/>
      <x:c r="L51"/>
      <x:c r="M51" s="8"/>
      <x:c r="N51"/>
      <x:c r="O51"/>
      <x:c r="P51"/>
      <x:c r="Q51" s="18"/>
      <x:c r="R51"/>
    </x:row>
    <x:row r="52" ht="22" customHeight="1">
      <x:c r="A52" s="20" t="str">
        <x:v>I-048</x:v>
      </x:c>
      <x:c r="B52"/>
      <x:c r="C52" s="18"/>
      <x:c r="D52"/>
      <x:c r="E52"/>
      <x:c r="F52"/>
      <x:c r="G52"/>
      <x:c r="H52"/>
      <x:c r="I52" s="38"/>
      <x:c r="J52"/>
      <x:c r="K52" s="18"/>
      <x:c r="L52"/>
      <x:c r="M52" s="8"/>
      <x:c r="N52"/>
      <x:c r="O52"/>
      <x:c r="P52"/>
      <x:c r="Q52" s="18"/>
      <x:c r="R52"/>
    </x:row>
    <x:row r="53" ht="22" customHeight="1">
      <x:c r="A53" s="20" t="str">
        <x:v>I-049</x:v>
      </x:c>
      <x:c r="B53"/>
      <x:c r="C53" s="18"/>
      <x:c r="D53"/>
      <x:c r="E53"/>
      <x:c r="F53"/>
      <x:c r="G53"/>
      <x:c r="H53"/>
      <x:c r="I53" s="38"/>
      <x:c r="J53"/>
      <x:c r="K53" s="18"/>
      <x:c r="L53"/>
      <x:c r="M53" s="8"/>
      <x:c r="N53"/>
      <x:c r="O53"/>
      <x:c r="P53"/>
      <x:c r="Q53" s="18"/>
      <x:c r="R53"/>
    </x:row>
    <x:row r="54" ht="22" customHeight="1">
      <x:c r="A54" s="20" t="str">
        <x:v>I-050</x:v>
      </x:c>
      <x:c r="B54"/>
      <x:c r="C54" s="18"/>
      <x:c r="D54"/>
      <x:c r="E54"/>
      <x:c r="F54"/>
      <x:c r="G54"/>
      <x:c r="H54"/>
      <x:c r="I54" s="38"/>
      <x:c r="J54"/>
      <x:c r="K54" s="18"/>
      <x:c r="L54"/>
      <x:c r="M54" s="8"/>
      <x:c r="N54"/>
      <x:c r="O54"/>
      <x:c r="P54"/>
      <x:c r="Q54" s="18"/>
      <x:c r="R54"/>
    </x:row>
    <x:row r="55" ht="22" customHeight="1">
      <x:c r="A55" s="20" t="str">
        <x:v>I-051</x:v>
      </x:c>
      <x:c r="B55"/>
      <x:c r="C55" s="18"/>
      <x:c r="D55"/>
      <x:c r="E55"/>
      <x:c r="F55"/>
      <x:c r="G55"/>
      <x:c r="H55"/>
      <x:c r="I55" s="38"/>
      <x:c r="J55"/>
      <x:c r="K55" s="18"/>
      <x:c r="L55"/>
      <x:c r="M55" s="8"/>
      <x:c r="N55"/>
      <x:c r="O55"/>
      <x:c r="P55"/>
      <x:c r="Q55" s="18"/>
      <x:c r="R55"/>
    </x:row>
    <x:row r="56" ht="22" customHeight="1">
      <x:c r="A56" s="20" t="str">
        <x:v>I-052</x:v>
      </x:c>
      <x:c r="B56"/>
      <x:c r="C56" s="18"/>
      <x:c r="D56"/>
      <x:c r="E56"/>
      <x:c r="F56"/>
      <x:c r="G56"/>
      <x:c r="H56"/>
      <x:c r="I56" s="38"/>
      <x:c r="J56"/>
      <x:c r="K56" s="18"/>
      <x:c r="L56"/>
      <x:c r="M56" s="8"/>
      <x:c r="N56"/>
      <x:c r="O56"/>
      <x:c r="P56"/>
      <x:c r="Q56" s="18"/>
      <x:c r="R56"/>
    </x:row>
    <x:row r="57" ht="22" customHeight="1">
      <x:c r="A57" s="20" t="str">
        <x:v>I-053</x:v>
      </x:c>
      <x:c r="B57"/>
      <x:c r="C57" s="18"/>
      <x:c r="D57"/>
      <x:c r="E57"/>
      <x:c r="F57"/>
      <x:c r="G57"/>
      <x:c r="H57"/>
      <x:c r="I57" s="38"/>
      <x:c r="J57"/>
      <x:c r="K57" s="18"/>
      <x:c r="L57"/>
      <x:c r="M57" s="8"/>
      <x:c r="N57"/>
      <x:c r="O57"/>
      <x:c r="P57"/>
      <x:c r="Q57" s="18"/>
      <x:c r="R57"/>
    </x:row>
    <x:row r="58" ht="22" customHeight="1">
      <x:c r="A58" s="20" t="str">
        <x:v>I-054</x:v>
      </x:c>
      <x:c r="B58"/>
      <x:c r="C58" s="18"/>
      <x:c r="D58"/>
      <x:c r="E58"/>
      <x:c r="F58"/>
      <x:c r="G58"/>
      <x:c r="H58"/>
      <x:c r="I58" s="38"/>
      <x:c r="J58"/>
      <x:c r="K58" s="18"/>
      <x:c r="L58"/>
      <x:c r="M58" s="8"/>
      <x:c r="N58"/>
      <x:c r="O58"/>
      <x:c r="P58"/>
      <x:c r="Q58" s="18"/>
      <x:c r="R58"/>
    </x:row>
    <x:row r="59" ht="22" customHeight="1">
      <x:c r="A59" s="20" t="str">
        <x:v>I-055</x:v>
      </x:c>
      <x:c r="B59"/>
      <x:c r="C59" s="18"/>
      <x:c r="D59"/>
      <x:c r="E59"/>
      <x:c r="F59"/>
      <x:c r="G59"/>
      <x:c r="H59"/>
      <x:c r="I59" s="38"/>
      <x:c r="J59"/>
      <x:c r="K59" s="18"/>
      <x:c r="L59"/>
      <x:c r="M59" s="8"/>
      <x:c r="N59"/>
      <x:c r="O59"/>
      <x:c r="P59"/>
      <x:c r="Q59" s="18"/>
      <x:c r="R59"/>
    </x:row>
    <x:row r="60" ht="22" customHeight="1">
      <x:c r="A60" s="20" t="str">
        <x:v>I-056</x:v>
      </x:c>
      <x:c r="B60"/>
      <x:c r="C60" s="18"/>
      <x:c r="D60"/>
      <x:c r="E60"/>
      <x:c r="F60"/>
      <x:c r="G60"/>
      <x:c r="H60"/>
      <x:c r="I60" s="38"/>
      <x:c r="J60"/>
      <x:c r="K60" s="18"/>
      <x:c r="L60"/>
      <x:c r="M60" s="8"/>
      <x:c r="N60"/>
      <x:c r="O60"/>
      <x:c r="P60"/>
      <x:c r="Q60" s="18"/>
      <x:c r="R60"/>
    </x:row>
    <x:row r="61" ht="22" customHeight="1">
      <x:c r="A61" s="20" t="str">
        <x:v>I-057</x:v>
      </x:c>
      <x:c r="B61"/>
      <x:c r="C61" s="18"/>
      <x:c r="D61"/>
      <x:c r="E61"/>
      <x:c r="F61"/>
      <x:c r="G61"/>
      <x:c r="H61"/>
      <x:c r="I61" s="38"/>
      <x:c r="J61"/>
      <x:c r="K61" s="18"/>
      <x:c r="L61"/>
      <x:c r="M61" s="8"/>
      <x:c r="N61"/>
      <x:c r="O61"/>
      <x:c r="P61"/>
      <x:c r="Q61" s="18"/>
      <x:c r="R61"/>
    </x:row>
    <x:row r="62" ht="22" customHeight="1">
      <x:c r="A62" s="20" t="str">
        <x:v>I-058</x:v>
      </x:c>
      <x:c r="B62"/>
      <x:c r="C62" s="18"/>
      <x:c r="D62"/>
      <x:c r="E62"/>
      <x:c r="F62"/>
      <x:c r="G62"/>
      <x:c r="H62"/>
      <x:c r="I62" s="38"/>
      <x:c r="J62"/>
      <x:c r="K62" s="18"/>
      <x:c r="L62"/>
      <x:c r="M62" s="8"/>
      <x:c r="N62"/>
      <x:c r="O62"/>
      <x:c r="P62"/>
      <x:c r="Q62" s="18"/>
      <x:c r="R62"/>
    </x:row>
    <x:row r="63" ht="22" customHeight="1">
      <x:c r="A63" s="20" t="str">
        <x:v>I-059</x:v>
      </x:c>
      <x:c r="B63"/>
      <x:c r="C63" s="18"/>
      <x:c r="D63"/>
      <x:c r="E63"/>
      <x:c r="F63"/>
      <x:c r="G63"/>
      <x:c r="H63"/>
      <x:c r="I63" s="38"/>
      <x:c r="J63"/>
      <x:c r="K63" s="18"/>
      <x:c r="L63"/>
      <x:c r="M63" s="8"/>
      <x:c r="N63"/>
      <x:c r="O63"/>
      <x:c r="P63"/>
      <x:c r="Q63" s="18"/>
      <x:c r="R63"/>
    </x:row>
    <x:row r="64" ht="22" customHeight="1">
      <x:c r="A64" s="20" t="str">
        <x:v>I-060</x:v>
      </x:c>
      <x:c r="B64"/>
      <x:c r="C64" s="18"/>
      <x:c r="D64"/>
      <x:c r="E64"/>
      <x:c r="F64"/>
      <x:c r="G64"/>
      <x:c r="H64"/>
      <x:c r="I64" s="38"/>
      <x:c r="J64"/>
      <x:c r="K64" s="18"/>
      <x:c r="L64"/>
      <x:c r="M64" s="8"/>
      <x:c r="N64"/>
      <x:c r="O64"/>
      <x:c r="P64"/>
      <x:c r="Q64" s="18"/>
      <x:c r="R64"/>
    </x:row>
  </x:sheetData>
  <x:mergeCells>
    <x:mergeCell ref="A1:R1"/>
    <x:mergeCell ref="A2:R2"/>
  </x:mergeCells>
  <x:conditionalFormatting sqref="P5:P64">
    <x:cfRule type="expression" dxfId="2" priority="1">
      <x:formula>P5="Pilotgespräch"</x:formula>
    </x:cfRule>
  </x:conditionalFormatting>
  <x:dataValidations count="3">
    <x:dataValidation type="list" sqref="E5:E64">
      <x:formula1>"Lebensmittel,Kosmetik,Textil"</x:formula1>
    </x:dataValidation>
    <x:dataValidation type="list" sqref="M5:M64">
      <x:formula1>"L1,L2,L3,Unklar"</x:formula1>
    </x:dataValidation>
    <x:dataValidation type="list" sqref="P5:P64">
      <x:formula1>"Offen,Termin vereinbart,Nachfassen,Pilotgespräch,Abgeschlossen,Keine Rückmeldung,Absage"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2357f3699d54cd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15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7" customHeight="1">
      <x:c r="A1" s="4" t="str">
        <x:v>DOKUMENT C  |  ICP, Auswahlregeln &amp; Interviewleitfaden</x:v>
      </x:c>
      <x:c r="B1" s="4"/>
      <x:c r="C1" s="4"/>
      <x:c r="D1" s="4"/>
      <x:c r="E1" s="4"/>
      <x:c r="F1" s="4"/>
      <x:c r="G1" s="4"/>
    </x:row>
    <x:row r="3" ht="34" customHeight="1">
      <x:c r="A3" s="14" t="str">
        <x:v>Element</x:v>
      </x:c>
      <x:c r="B3" s="14" t="str">
        <x:v>Definition / Leitfrage</x:v>
      </x:c>
    </x:row>
    <x:row r="4" ht="30" customHeight="1">
      <x:c r="A4" s="54" t="str">
        <x:v>ZIEL</x:v>
      </x:c>
      <x:c r="B4" s="56" t="str">
        <x:v>Probleme mit Produkt-Claims, Nachweisen, Freigaben und Herkunft dokumentiert verstehen – noch keine Produktzusage.</x:v>
      </x:c>
    </x:row>
    <x:row r="5" ht="30" customHeight="1">
      <x:c r="A5" s="54" t="str">
        <x:v>GEO</x:v>
      </x:c>
      <x:c r="B5" s="56" t="str">
        <x:v>Deutschland zuerst; NRW als praktische Kontaktpriorität, ohne andere Regionen auszuschließen.</x:v>
      </x:c>
    </x:row>
    <x:row r="6" ht="30" customHeight="1">
      <x:c r="A6" s="54" t="str">
        <x:v>BRANCHEN</x:v>
      </x:c>
      <x:c r="B6" s="56" t="str">
        <x:v>16 Lebensmittel · 12 Kosmetik · 12 Textil = 40 zu prüfende Firmenplätze.</x:v>
      </x:c>
    </x:row>
    <x:row r="7" ht="30" customHeight="1">
      <x:c r="A7" s="54" t="str">
        <x:v>IDEAL</x:v>
      </x:c>
      <x:c r="B7" s="56" t="str">
        <x:v>Hersteller / Markeninhaber mit mehreren Produkten, Qualitäts-/Regulatory-/Nachhaltigkeitsfunktion und wiederkehrenden belegpflichtigen Aussagen.</x:v>
      </x:c>
    </x:row>
    <x:row r="8" ht="30" customHeight="1">
      <x:c r="A8" s="54" t="str">
        <x:v>GRÖSSE</x:v>
      </x:c>
      <x:c r="B8" s="56" t="str">
        <x:v>Suchkorridor: ca. 20–500 Mitarbeitende; ausschließlich Hypothese, kein Ausschluss ohne Kontext.</x:v>
      </x:c>
    </x:row>
    <x:row r="9" ht="30" customHeight="1">
      <x:c r="A9" s="54" t="str">
        <x:v>CLAIMS</x:v>
      </x:c>
      <x:c r="B9" s="56" t="str">
        <x:v>Mindestens mehrere öffentlich erkennbare Produkt-, Qualitäts-, Herkunfts- oder Nachhaltigkeits-Claims; Zahl in Tabelle erst nach Recherche eintragen.</x:v>
      </x:c>
    </x:row>
    <x:row r="10" ht="30" customHeight="1">
      <x:c r="A10" s="54" t="str">
        <x:v>NEGATIV-FIT</x:v>
      </x:c>
      <x:c r="B10" s="56" t="str">
        <x:v>Reine Agentur ohne Claim-Verantwortung, Einzelperson ohne Budget, reiner Wiederverkäufer ohne Nachweisworkflow.</x:v>
      </x:c>
    </x:row>
    <x:row r="11" ht="30" customHeight="1">
      <x:c r="A11" s="54" t="str">
        <x:v>SCORE PROBLEM</x:v>
      </x:c>
      <x:c r="B11" s="56" t="str">
        <x:v>0 = unbekannt; 1 = schwach; 2 = wiederkehrend; 3 = dokumentierter akuter Schmerz.</x:v>
      </x:c>
    </x:row>
    <x:row r="12" ht="30" customHeight="1">
      <x:c r="A12" s="54" t="str">
        <x:v>SCORE KOMPLEXITÄT</x:v>
      </x:c>
      <x:c r="B12" s="56" t="str">
        <x:v>0 = unbekannt; 1 = 1 Quelle / Team; 2 = mehrere Quellen / Teams; 3 = Supplier- und Versionsketten.</x:v>
      </x:c>
    </x:row>
    <x:row r="13" ht="30" customHeight="1">
      <x:c r="A13" s="54" t="str">
        <x:v>SCORE ZUGANG</x:v>
      </x:c>
      <x:c r="B13" s="56" t="str">
        <x:v>0 = keine Rolle identifiziert; 1 = allgemeiner Kontakt; 2 = zuständige Abteilung; 3 = Entscheider erreichbar.</x:v>
      </x:c>
    </x:row>
    <x:row r="14" ht="30" customHeight="1">
      <x:c r="A14" s="54" t="str">
        <x:v>PRIORITÄTEN</x:v>
      </x:c>
      <x:c r="B14" s="56" t="str">
        <x:v>A = 7–9, B = 4–6, C = 0–3. 0 in Scoring-Feldern ist nicht mit fehlender Information gleichzusetzen.</x:v>
      </x:c>
    </x:row>
    <x:row r="15" ht="30" customHeight="1">
      <x:c r="A15" s="54" t="str">
        <x:v>L1</x:v>
      </x:c>
      <x:c r="B15" s="56" t="str">
        <x:v>Interessenaussage oder Zustimmung, ohne konkretes jüngstes Ereignis und ohne belegten Aufwand.</x:v>
      </x:c>
    </x:row>
    <x:row r="16" ht="30" customHeight="1">
      <x:c r="A16" s="54" t="str">
        <x:v>L2</x:v>
      </x:c>
      <x:c r="B16" s="56" t="str">
        <x:v>Konkretes jüngstes Ereignis plus quantifizierbare Auswirkungen (Zeit, Kosten, Verzögerung) oder prüfbares Beispiel.</x:v>
      </x:c>
    </x:row>
    <x:row r="17" ht="30" customHeight="1">
      <x:c r="A17" s="54" t="str">
        <x:v>L3</x:v>
      </x:c>
      <x:c r="B17" s="56" t="str">
        <x:v>L2 plus verbindlicher Folgeschritt mit Verantwortlichem, z. B. Pilot-Sichtung mit definierter Frist. Keine Umsatzgarantie.</x:v>
      </x:c>
    </x:row>
    <x:row r="18" ht="30" customHeight="1">
      <x:c r="A18" s="54" t="str">
        <x:v>FRAGE 1</x:v>
      </x:c>
      <x:c r="B18" s="56" t="str">
        <x:v>Wann musste zuletzt eine Produktbehauptung gegenüber Kunde, Vertrieb, Auditor oder Behörde belegt werden?</x:v>
      </x:c>
    </x:row>
    <x:row r="19" ht="30" customHeight="1">
      <x:c r="A19" s="54" t="str">
        <x:v>FRAGE 2</x:v>
      </x:c>
      <x:c r="B19" s="56" t="str">
        <x:v>Was war der Auslöser, wann passierte es, wer war beteiligt?</x:v>
      </x:c>
    </x:row>
    <x:row r="20" ht="30" customHeight="1">
      <x:c r="A20" s="54" t="str">
        <x:v>FRAGE 3</x:v>
      </x:c>
      <x:c r="B20" s="56" t="str">
        <x:v>Wo lagen die Dokumente und wie wurden die Versionen und Zuständigkeiten nachverfolgt?</x:v>
      </x:c>
    </x:row>
    <x:row r="21" ht="30" customHeight="1">
      <x:c r="A21" s="54" t="str">
        <x:v>FRAGE 4</x:v>
      </x:c>
      <x:c r="B21" s="56" t="str">
        <x:v>Wie viel Zeit/Kosten/Verzögerung verursachte genau dieser Vorgang?</x:v>
      </x:c>
    </x:row>
    <x:row r="22" ht="30" customHeight="1">
      <x:c r="A22" s="54" t="str">
        <x:v>FRAGE 5</x:v>
      </x:c>
      <x:c r="B22" s="56" t="str">
        <x:v>Welche Tools verwenden Sie heute? Was funktioniert gut und was nicht?</x:v>
      </x:c>
    </x:row>
    <x:row r="23" ht="30" customHeight="1">
      <x:c r="A23" s="54" t="str">
        <x:v>FRAGE 6</x:v>
      </x:c>
      <x:c r="B23" s="56" t="str">
        <x:v>Wie oft kommt ein solcher Fall vor und wie viele Claims betreuen Sie ungefähr?</x:v>
      </x:c>
    </x:row>
    <x:row r="24" ht="30" customHeight="1">
      <x:c r="A24" s="54" t="str">
        <x:v>FRAGE 7</x:v>
      </x:c>
      <x:c r="B24" s="56" t="str">
        <x:v>Wer entscheidet über die Einführung oder Beschaffung neuer Lösungen?</x:v>
      </x:c>
    </x:row>
    <x:row r="25" ht="30" customHeight="1">
      <x:c r="A25" s="54" t="str">
        <x:v>FRAGE 8</x:v>
      </x:c>
      <x:c r="B25" s="56" t="str">
        <x:v>Was haben Sie bereits versucht, um den Prozess zu verbessern?</x:v>
      </x:c>
    </x:row>
    <x:row r="26" ht="30" customHeight="1">
      <x:c r="A26" s="54" t="str">
        <x:v>FRAGE 9</x:v>
      </x:c>
      <x:c r="B26" s="56" t="str">
        <x:v>Wenn sich nichts ändert, was passiert in den nächsten 6–12 Monaten?</x:v>
      </x:c>
    </x:row>
    <x:row r="27" ht="30" customHeight="1">
      <x:c r="A27" s="54" t="str">
        <x:v>FRAGE 10</x:v>
      </x:c>
      <x:c r="B27" s="56" t="str">
        <x:v>Wäre ein zweites Gespräch zur Prüfung eines anonymisierten Beispiels sinnvoll?</x:v>
      </x:c>
    </x:row>
    <x:row r="28" ht="30" customHeight="1">
      <x:c r="A28" s="54" t="str">
        <x:v>VERHALTEN</x:v>
      </x:c>
      <x:c r="B28" s="56" t="str">
        <x:v>Erst den bestehenden Ablauf verstehen, nicht pitchen; offene Fragen, keine suggestiven Fragen; Gesprächspartner nicht namentlich verpflichten.</x:v>
      </x:c>
    </x:row>
    <x:row r="29" ht="30" customHeight="1">
      <x:c r="A29" s="54" t="str">
        <x:v>DATENSCHUTZ</x:v>
      </x:c>
      <x:c r="B29" s="56" t="str">
        <x:v>Keine persönlichen Kontaktdaten im Log; keine Kundendokumente, Aufzeichnungen oder Secrets ohne passende Freigabe.</x:v>
      </x:c>
    </x:row>
    <x:row r="30" ht="30" customHeight="1">
      <x:c r="A30" s="54" t="str">
        <x:v>SICHERHEIT</x:v>
      </x:c>
      <x:c r="B30" s="56" t="str">
        <x:v>Kein Code, keine Migration, kein Merge, kein Deploy. Interviewforschung ist unabhängig von Production-Sicherheitsgates.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55" hidden="0" customWidth="1"/>
    <x:col min="4" max="4" width="88" hidden="0" customWidth="1"/>
    <x:col min="5" max="5" width="48" hidden="0" customWidth="1"/>
  </x:cols>
  <x:sheetData>
    <x:row r="1" ht="37" customHeight="1">
      <x:c r="A1" s="4" t="str">
        <x:v>QUELLEN  |  Öffentliche Anbieter- und Firmendaten</x:v>
      </x:c>
      <x:c r="B1" s="4"/>
      <x:c r="C1" s="4"/>
      <x:c r="D1" s="4"/>
      <x:c r="E1" s="4"/>
    </x:row>
    <x:row r="3" ht="34" customHeight="1">
      <x:c r="A3" s="14" t="str">
        <x:v>Segment</x:v>
      </x:c>
      <x:c r="B3" s="14" t="str">
        <x:v>Quelle</x:v>
      </x:c>
      <x:c r="C3" s="14" t="str">
        <x:v>Wofür geeignet</x:v>
      </x:c>
      <x:c r="D3" s="14" t="str">
        <x:v>URL</x:v>
      </x:c>
      <x:c r="E3" s="14" t="str">
        <x:v>Hinweis</x:v>
      </x:c>
    </x:row>
    <x:row r="4" ht="44" customHeight="1">
      <x:c r="A4" s="58" t="str">
        <x:v>Lebensmittel</x:v>
      </x:c>
      <x:c r="B4" s="58" t="str">
        <x:v>Anuga Aussteller 2025</x:v>
      </x:c>
      <x:c r="C4" s="58" t="str">
        <x:v>Kandidaten nach Marken / Produktgruppe / Herkunft finden</x:v>
      </x:c>
      <x:c r="D4" s="58" t="str">
        <x:v>https://www.anuga.com/anuga-exhibitors/list-of-exhibitors/</x:v>
      </x:c>
      <x:c r="E4" s="58" t="str">
        <x:v>Anschließend auf Firmenwebsite verifizieren</x:v>
      </x:c>
    </x:row>
    <x:row r="5" ht="44" customHeight="1">
      <x:c r="A5" s="58" t="str">
        <x:v>Kosmetik</x:v>
      </x:c>
      <x:c r="B5" s="58" t="str">
        <x:v>BEAUTY DÜSSELDORF Aussteller 2026</x:v>
      </x:c>
      <x:c r="C5" s="58" t="str">
        <x:v>Hersteller/Marken von Dienstleistern trennen</x:v>
      </x:c>
      <x:c r="D5" s="58" t="str">
        <x:v>https://www.beauty-duesseldorf.com/en/Exhibitors_Products/h1_f%C3%BCr_Suchergebnisseite</x:v>
      </x:c>
      <x:c r="E5" s="58" t="str">
        <x:v>Nicht jeder Aussteller ist Hersteller</x:v>
      </x:c>
    </x:row>
    <x:row r="6" ht="44" customHeight="1">
      <x:c r="A6" s="58" t="str">
        <x:v>Textil</x:v>
      </x:c>
      <x:c r="B6" s="58" t="str">
        <x:v>Heimtextil Aussteller &amp; Produkte</x:v>
      </x:c>
      <x:c r="C6" s="58" t="str">
        <x:v>Textil-Produzenten, Labels und Produktkategorien</x:v>
      </x:c>
      <x:c r="D6" s="58" t="str">
        <x:v>https://heimtextil.messefrankfurt.com/frankfurt/en/exhibitor-search.html</x:v>
      </x:c>
      <x:c r="E6" s="58" t="str">
        <x:v>Jeweiligen Jahresbezug prüfen</x:v>
      </x:c>
    </x:row>
    <x:row r="7" ht="44" customHeight="1">
      <x:c r="A7" s="58" t="str">
        <x:v>Alle</x:v>
      </x:c>
      <x:c r="B7" s="58" t="str">
        <x:v>Unternehmensregister</x:v>
      </x:c>
      <x:c r="C7" s="58" t="str">
        <x:v>Firmendaten und Rechtsform plausibilisieren</x:v>
      </x:c>
      <x:c r="D7" s="58" t="str">
        <x:v>https://www.unternehmensregister.de/en/howto/search</x:v>
      </x:c>
      <x:c r="E7" s="58" t="str">
        <x:v>Keine Vermutung aus fehlendem Eintrag</x:v>
      </x:c>
    </x:row>
    <x:row r="8" ht="44" customHeight="1">
      <x:c r="A8" s="58" t="str">
        <x:v>Alle</x:v>
      </x:c>
      <x:c r="B8" s="58" t="str">
        <x:v>Unternehmens-Website</x:v>
      </x:c>
      <x:c r="C8" s="58" t="str">
        <x:v>Öffentliche Claims, Dokument- und Kontaktrollen</x:v>
      </x:c>
      <x:c r="D8" s="58" t="str"/>
      <x:c r="E8" s="58" t="str">
        <x:v>Nur verifizierte Tatsachen in Tabelle eintragen</x:v>
      </x:c>
    </x:row>
  </x:sheetData>
  <x:mergeCells>
    <x:mergeCell ref="A1:E1"/>
  </x:mergeCells>
  <x:pageMargins left="0.7" right="0.7" top="0.75" bottom="0.75" header="0.3" footer="0.3"/>
</x:worksheet>
</file>